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质量监测中心" sheetId="1" r:id="rId1"/>
  </sheets>
  <definedNames>
    <definedName name="_xlnm._FilterDatabase" localSheetId="0" hidden="1">质量监测中心!$A$2:$AA$36</definedName>
    <definedName name="_xlnm.Print_Titles" localSheetId="0">质量监测中心!$1:$2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<sst xmlns="http://schemas.openxmlformats.org/spreadsheetml/2006/main" count="188" uniqueCount="86">
  <si>
    <t>质量监测中心</t>
  </si>
  <si>
    <t>大合计</t>
  </si>
  <si>
    <t>活动名称</t>
  </si>
  <si>
    <t>小合计</t>
  </si>
  <si>
    <t>经济分类</t>
  </si>
  <si>
    <t>规格</t>
  </si>
  <si>
    <t>标准</t>
  </si>
  <si>
    <t>数量</t>
  </si>
  <si>
    <t>金额</t>
  </si>
  <si>
    <t>合计</t>
  </si>
  <si>
    <t>已申请</t>
  </si>
  <si>
    <t>1季度急需</t>
  </si>
  <si>
    <t>3月申请</t>
  </si>
  <si>
    <t>3月财政收回</t>
  </si>
  <si>
    <t>待申请</t>
  </si>
  <si>
    <t>已支付</t>
  </si>
  <si>
    <t>3月支付</t>
  </si>
  <si>
    <t>待支付</t>
  </si>
  <si>
    <t>全年预算余额</t>
  </si>
  <si>
    <t>教科研经费</t>
  </si>
  <si>
    <t>预算总额</t>
  </si>
  <si>
    <t>教研</t>
  </si>
  <si>
    <t>学术交流</t>
  </si>
  <si>
    <t>教研员继续教育（专业提升）外出学习交流</t>
  </si>
  <si>
    <t>差旅费</t>
  </si>
  <si>
    <t>元/人·次×</t>
  </si>
  <si>
    <t>人×</t>
  </si>
  <si>
    <t>次=</t>
  </si>
  <si>
    <t>科研</t>
  </si>
  <si>
    <t>市级课题：《贵阳市高中生信息技术学科核心素养培养现状及对策研究》（信息技术）研究经费</t>
  </si>
  <si>
    <t>其他商品和服务支出</t>
  </si>
  <si>
    <t>已申请额度</t>
  </si>
  <si>
    <t>评比竞赛监测</t>
  </si>
  <si>
    <t>微机评卷技术服务（扫描、条形码制作、管理、基础数据处理等）（招标类）</t>
  </si>
  <si>
    <t>2025年高三适应性考试（一）微机评卷技术服务</t>
  </si>
  <si>
    <t>委托业务费</t>
  </si>
  <si>
    <t>元/份·科×</t>
  </si>
  <si>
    <t>份×</t>
  </si>
  <si>
    <t>科=</t>
  </si>
  <si>
    <t>2025年新高三年级八月入门摸底考试微机评卷技术服务</t>
  </si>
  <si>
    <t>已支付额度</t>
  </si>
  <si>
    <t>2024-2025年第一学期高三年级十一月质量监测微机评卷技术服务</t>
  </si>
  <si>
    <t>2024-2025年第一学期高一高二年级质量监测微机评卷技术服务</t>
  </si>
  <si>
    <t>账上结余</t>
  </si>
  <si>
    <t>贵阳市学科竞赛教育质量监测（集中评卷）</t>
  </si>
  <si>
    <t>命题费（组长）6个学科</t>
  </si>
  <si>
    <t>劳务费</t>
  </si>
  <si>
    <t>元/人/天·科×</t>
  </si>
  <si>
    <t>天=</t>
  </si>
  <si>
    <t>命题费（命题、审题老师）</t>
  </si>
  <si>
    <t>试卷印刷（招标类）</t>
  </si>
  <si>
    <t>印刷费</t>
  </si>
  <si>
    <t>元/人·科×</t>
  </si>
  <si>
    <t>微机评卷技术服务（软件租用、扫描、条形码制作、管理、基础数据处理等）</t>
  </si>
  <si>
    <t>数据统计分析表印刷（招标类：和试卷打捆招标）</t>
  </si>
  <si>
    <t>元/本×</t>
  </si>
  <si>
    <t>本=</t>
  </si>
  <si>
    <t>报名、考场号和座位号编制、打印劳务费</t>
  </si>
  <si>
    <t>元/人·天×</t>
  </si>
  <si>
    <t>巡视费</t>
  </si>
  <si>
    <t>评卷组长劳务费</t>
  </si>
  <si>
    <t>评卷劳务费</t>
  </si>
  <si>
    <t>成绩统计、分析劳务费</t>
  </si>
  <si>
    <t>贵阳市拔尖人才培养质量监测技术服务</t>
  </si>
  <si>
    <t>拔尖人才一生一案追踪性监测</t>
  </si>
  <si>
    <t>元/份×</t>
  </si>
  <si>
    <t>基础教育精品课专家评审费</t>
  </si>
  <si>
    <t>评审费</t>
  </si>
  <si>
    <t>正高级</t>
  </si>
  <si>
    <t>贵阳市高中生学业水平追踪技术服务</t>
  </si>
  <si>
    <t>2026年在校生编码、考试数据库维护</t>
  </si>
  <si>
    <t>2026届高三毕业年级的入出口评价分析</t>
  </si>
  <si>
    <t>学科知识框架建设、学科评价反馈报告的制作</t>
  </si>
  <si>
    <t>学校评价报告</t>
  </si>
  <si>
    <t>贵阳市拔尖人才培养质量监测技术服务（竞赛生专项）</t>
  </si>
  <si>
    <t>用户管理系统年服务费</t>
  </si>
  <si>
    <t>测评系统年服务费</t>
  </si>
  <si>
    <t>题库管理系统年服务费</t>
  </si>
  <si>
    <t>统计分析系统年服务费</t>
  </si>
  <si>
    <t>证书颁发及验证系统年服务费</t>
  </si>
  <si>
    <t>学习成长系统年服务费</t>
  </si>
  <si>
    <t>云服务器年服务费</t>
  </si>
  <si>
    <t>云存储费用年服务费</t>
  </si>
  <si>
    <t>短信发送流量年服务费</t>
  </si>
  <si>
    <t>年发展排名前45名学生发展报告</t>
  </si>
  <si>
    <t>教科研经费合计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</si>
</sst>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&quot;元&quot;"/>
  </numFmts>
  <fonts count="38">
    <font>
      <sz val="12"/>
      <name val="宋体"/>
      <charset val="134"/>
    </font>
    <font>
      <sz val="12"/>
      <name val="宋体"/>
      <charset val="134"/>
      <scheme val="minor"/>
    </font>
    <font>
      <sz val="22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22"/>
      <name val="Microsoft YaHei"/>
      <charset val="134"/>
    </font>
    <font>
      <b/>
      <sz val="16"/>
      <name val="Microsoft YaHei"/>
      <charset val="134"/>
    </font>
    <font>
      <b/>
      <sz val="16"/>
      <color rgb="FFFF0000"/>
      <name val="Microsoft YaHei"/>
      <charset val="134"/>
    </font>
    <font>
      <b/>
      <sz val="22"/>
      <color rgb="FFFFFFFF"/>
      <name val="Microsoft YaHei"/>
      <charset val="134"/>
    </font>
    <font>
      <b/>
      <sz val="11"/>
      <color rgb="FFFFFFFF"/>
      <name val="Microsoft YaHei"/>
      <charset val="134"/>
    </font>
    <font>
      <b/>
      <sz val="11"/>
      <color rgb="FFFF0000"/>
      <name val="Microsoft YaHei"/>
      <charset val="134"/>
    </font>
    <font>
      <sz val="11"/>
      <color rgb="FF000000"/>
      <name val="Microsoft YaHei"/>
      <charset val="134"/>
    </font>
    <font>
      <sz val="11"/>
      <color rgb="FFFF0000"/>
      <name val="Microsoft YaHei"/>
      <charset val="134"/>
    </font>
    <font>
      <sz val="11"/>
      <name val="Microsoft YaHei"/>
      <charset val="134"/>
    </font>
    <font>
      <sz val="11"/>
      <color rgb="FF0000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2"/>
      <color theme="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2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9996032593768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F2EA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822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theme="5"/>
      </left>
      <right style="thin">
        <color theme="5" tint="0.599993896298105"/>
      </right>
      <top style="thin">
        <color theme="5"/>
      </top>
      <bottom style="thin">
        <color theme="5"/>
      </bottom>
      <diagonal/>
    </border>
    <border>
      <left style="thin">
        <color theme="5" tint="0.599993896298105"/>
      </left>
      <right style="thin">
        <color theme="5" tint="0.599993896298105"/>
      </right>
      <top style="thin">
        <color theme="5"/>
      </top>
      <bottom style="thin">
        <color theme="5"/>
      </bottom>
      <diagonal/>
    </border>
    <border>
      <left style="thin">
        <color theme="5" tint="0.59999389629810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/>
      <diagonal/>
    </border>
    <border>
      <left style="thin">
        <color theme="5" tint="0.599993896298105"/>
      </left>
      <right style="thin">
        <color theme="5" tint="0.599993896298105"/>
      </right>
      <top/>
      <bottom style="thin">
        <color theme="5" tint="0.599993896298105"/>
      </bottom>
      <diagonal/>
    </border>
    <border>
      <left style="thin">
        <color theme="5" tint="0.599993896298105"/>
      </left>
      <right style="thin">
        <color theme="5" tint="0.599993896298105"/>
      </right>
      <top style="thin">
        <color theme="5" tint="0.599993896298105"/>
      </top>
      <bottom style="thin">
        <color theme="5" tint="0.599993896298105"/>
      </bottom>
      <diagonal/>
    </border>
    <border>
      <left style="thin">
        <color theme="5" tint="0.599993896298105"/>
      </left>
      <right/>
      <top style="thin">
        <color theme="5" tint="0.599993896298105"/>
      </top>
      <bottom style="thin">
        <color theme="5" tint="0.599993896298105"/>
      </bottom>
      <diagonal/>
    </border>
    <border>
      <left/>
      <right style="thin">
        <color theme="5" tint="0.599993896298105"/>
      </right>
      <top style="thin">
        <color theme="5" tint="0.599993896298105"/>
      </top>
      <bottom style="thin">
        <color theme="5" tint="0.599993896298105"/>
      </bottom>
      <diagonal/>
    </border>
    <border>
      <left style="thin">
        <color theme="5" tint="0.599993896298105"/>
      </left>
      <right style="thin">
        <color theme="5"/>
      </right>
      <top/>
      <bottom style="thin">
        <color theme="5" tint="0.599993896298105"/>
      </bottom>
      <diagonal/>
    </border>
    <border>
      <left/>
      <right/>
      <top style="thin">
        <color theme="5" tint="0.599993896298105"/>
      </top>
      <bottom/>
      <diagonal/>
    </border>
    <border>
      <left/>
      <right/>
      <top style="thin">
        <color theme="5" tint="0.599993896298105"/>
      </top>
      <bottom style="thin">
        <color theme="5" tint="0.599993896298105"/>
      </bottom>
      <diagonal/>
    </border>
    <border>
      <left style="thin">
        <color theme="5" tint="0.8"/>
      </left>
      <right style="thin">
        <color theme="5" tint="0.8"/>
      </right>
      <top style="thin">
        <color theme="5" tint="0.8"/>
      </top>
      <bottom/>
      <diagonal/>
    </border>
    <border>
      <left style="thin">
        <color theme="5" tint="0.599993896298105"/>
      </left>
      <right style="thin">
        <color theme="5" tint="0.599993896298105"/>
      </right>
      <top style="thin">
        <color theme="5" tint="0.599993896298105"/>
      </top>
      <bottom/>
      <diagonal/>
    </border>
    <border>
      <left style="thin">
        <color theme="5" tint="0.599993896298105"/>
      </left>
      <right style="thin">
        <color theme="5" tint="0.599993896298105"/>
      </right>
      <top/>
      <bottom/>
      <diagonal/>
    </border>
    <border>
      <left style="thin">
        <color theme="5" tint="0.8"/>
      </left>
      <right style="thin">
        <color theme="5" tint="0.8"/>
      </right>
      <top/>
      <bottom/>
      <diagonal/>
    </border>
    <border>
      <left/>
      <right style="thin">
        <color theme="5" tint="0.599993896298105"/>
      </right>
      <top style="thin">
        <color theme="5" tint="0.599993896298105"/>
      </top>
      <bottom/>
      <diagonal/>
    </border>
    <border>
      <left style="thin">
        <color theme="5" tint="0.599993896298105"/>
      </left>
      <right/>
      <top style="thin">
        <color theme="5" tint="0.599993896298105"/>
      </top>
      <bottom/>
      <diagonal/>
    </border>
    <border>
      <left style="thin">
        <color theme="5" tint="0.599993896298105"/>
      </left>
      <right/>
      <top/>
      <bottom/>
      <diagonal/>
    </border>
    <border>
      <left style="thin">
        <color theme="5" tint="0.599993896298105"/>
      </left>
      <right/>
      <top/>
      <bottom style="thin">
        <color theme="5" tint="0.599993896298105"/>
      </bottom>
      <diagonal/>
    </border>
    <border>
      <left/>
      <right/>
      <top/>
      <bottom style="thin">
        <color theme="5" tint="0.599993896298105"/>
      </bottom>
      <diagonal/>
    </border>
    <border>
      <left style="thin">
        <color theme="5" tint="0.599993896298105"/>
      </left>
      <right style="thin">
        <color auto="1"/>
      </right>
      <top/>
      <bottom style="thin">
        <color theme="5" tint="0.599993896298105"/>
      </bottom>
      <diagonal/>
    </border>
    <border>
      <left style="thin">
        <color theme="5" tint="0.8"/>
      </left>
      <right style="thin">
        <color theme="5" tint="0.8"/>
      </right>
      <top/>
      <bottom style="thin">
        <color theme="5" tint="0.8"/>
      </bottom>
      <diagonal/>
    </border>
    <border>
      <left style="thin">
        <color theme="5"/>
      </left>
      <right style="thin">
        <color theme="5" tint="0.599993896298105"/>
      </right>
      <top style="thin">
        <color theme="5" tint="0.599993896298105"/>
      </top>
      <bottom style="thin">
        <color theme="5" tint="0.5999938962981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9" borderId="2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5" applyNumberFormat="0" applyFill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0" borderId="27" applyNumberFormat="0" applyAlignment="0" applyProtection="0">
      <alignment vertical="center"/>
    </xf>
    <xf numFmtId="0" fontId="28" fillId="11" borderId="28" applyNumberFormat="0" applyAlignment="0" applyProtection="0">
      <alignment vertical="center"/>
    </xf>
    <xf numFmtId="0" fontId="29" fillId="11" borderId="27" applyNumberFormat="0" applyAlignment="0" applyProtection="0">
      <alignment vertical="center"/>
    </xf>
    <xf numFmtId="0" fontId="30" fillId="12" borderId="29" applyNumberFormat="0" applyAlignment="0" applyProtection="0">
      <alignment vertical="center"/>
    </xf>
    <xf numFmtId="0" fontId="31" fillId="0" borderId="30" applyNumberFormat="0" applyFill="0" applyAlignment="0" applyProtection="0">
      <alignment vertical="center"/>
    </xf>
    <xf numFmtId="0" fontId="32" fillId="0" borderId="31" applyNumberFormat="0" applyFill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right" vertical="center"/>
    </xf>
    <xf numFmtId="0" fontId="1" fillId="0" borderId="0" xfId="0" applyFont="1" applyAlignment="1" applyProtection="1">
      <alignment horizontal="right" vertical="center"/>
      <protection locked="0"/>
    </xf>
    <xf numFmtId="176" fontId="1" fillId="0" borderId="0" xfId="0" applyNumberFormat="1" applyFont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left" vertical="center" wrapText="1"/>
    </xf>
    <xf numFmtId="0" fontId="5" fillId="0" borderId="0" xfId="0" applyFont="1" applyAlignment="1" applyProtection="1">
      <alignment horizontal="right" vertical="center" wrapText="1"/>
    </xf>
    <xf numFmtId="0" fontId="5" fillId="0" borderId="0" xfId="0" applyFont="1" applyAlignment="1" applyProtection="1">
      <alignment horizontal="right" vertical="center" wrapText="1"/>
      <protection locked="0"/>
    </xf>
    <xf numFmtId="0" fontId="6" fillId="0" borderId="0" xfId="0" applyFont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</xf>
    <xf numFmtId="0" fontId="8" fillId="3" borderId="2" xfId="0" applyFont="1" applyFill="1" applyBorder="1" applyAlignment="1" applyProtection="1">
      <alignment horizontal="center" vertical="center" wrapText="1"/>
    </xf>
    <xf numFmtId="0" fontId="8" fillId="3" borderId="2" xfId="0" applyFont="1" applyFill="1" applyBorder="1" applyAlignment="1" applyProtection="1">
      <alignment horizontal="left" vertical="center" wrapText="1"/>
    </xf>
    <xf numFmtId="0" fontId="8" fillId="3" borderId="2" xfId="0" applyFont="1" applyFill="1" applyBorder="1" applyAlignment="1" applyProtection="1">
      <alignment horizontal="right" vertical="center" wrapText="1"/>
    </xf>
    <xf numFmtId="176" fontId="8" fillId="3" borderId="2" xfId="0" applyNumberFormat="1" applyFont="1" applyFill="1" applyBorder="1" applyAlignment="1" applyProtection="1">
      <alignment horizontal="center" vertical="center" wrapText="1"/>
    </xf>
    <xf numFmtId="0" fontId="9" fillId="3" borderId="2" xfId="0" applyFont="1" applyFill="1" applyBorder="1" applyAlignment="1" applyProtection="1">
      <alignment horizontal="center" vertical="center" wrapText="1"/>
    </xf>
    <xf numFmtId="0" fontId="8" fillId="3" borderId="3" xfId="0" applyFont="1" applyFill="1" applyBorder="1" applyAlignment="1" applyProtection="1">
      <alignment horizontal="center" vertical="center" wrapText="1"/>
    </xf>
    <xf numFmtId="0" fontId="7" fillId="3" borderId="4" xfId="0" applyFont="1" applyFill="1" applyBorder="1" applyAlignment="1" applyProtection="1">
      <alignment horizontal="center" vertical="center" wrapText="1"/>
    </xf>
    <xf numFmtId="176" fontId="10" fillId="4" borderId="5" xfId="0" applyNumberFormat="1" applyFont="1" applyFill="1" applyBorder="1" applyAlignment="1" applyProtection="1">
      <alignment horizontal="center" vertical="center" wrapText="1"/>
    </xf>
    <xf numFmtId="0" fontId="10" fillId="5" borderId="5" xfId="0" applyFont="1" applyFill="1" applyBorder="1" applyAlignment="1" applyProtection="1">
      <alignment vertical="center" wrapText="1"/>
    </xf>
    <xf numFmtId="0" fontId="10" fillId="5" borderId="6" xfId="0" applyFont="1" applyFill="1" applyBorder="1" applyAlignment="1" applyProtection="1">
      <alignment horizontal="center" vertical="center" wrapText="1"/>
    </xf>
    <xf numFmtId="176" fontId="10" fillId="4" borderId="6" xfId="0" applyNumberFormat="1" applyFont="1" applyFill="1" applyBorder="1" applyAlignment="1" applyProtection="1">
      <alignment horizontal="center" vertical="center" wrapText="1"/>
    </xf>
    <xf numFmtId="0" fontId="10" fillId="5" borderId="6" xfId="0" applyFont="1" applyFill="1" applyBorder="1" applyAlignment="1" applyProtection="1">
      <alignment horizontal="center" vertical="center" wrapText="1"/>
      <protection locked="0"/>
    </xf>
    <xf numFmtId="0" fontId="10" fillId="4" borderId="6" xfId="0" applyFont="1" applyFill="1" applyBorder="1" applyAlignment="1" applyProtection="1">
      <alignment horizontal="center" vertical="center" wrapText="1"/>
    </xf>
    <xf numFmtId="0" fontId="10" fillId="5" borderId="6" xfId="0" applyFont="1" applyFill="1" applyBorder="1" applyAlignment="1" applyProtection="1">
      <alignment horizontal="left" vertical="center" wrapText="1"/>
    </xf>
    <xf numFmtId="0" fontId="10" fillId="4" borderId="6" xfId="0" applyFont="1" applyFill="1" applyBorder="1" applyAlignment="1" applyProtection="1">
      <alignment horizontal="left" vertical="center" wrapText="1"/>
    </xf>
    <xf numFmtId="0" fontId="10" fillId="6" borderId="7" xfId="0" applyFont="1" applyFill="1" applyBorder="1" applyAlignment="1" applyProtection="1">
      <alignment horizontal="right" vertical="center" wrapText="1"/>
    </xf>
    <xf numFmtId="0" fontId="10" fillId="6" borderId="8" xfId="0" applyFont="1" applyFill="1" applyBorder="1" applyAlignment="1" applyProtection="1">
      <alignment horizontal="left" vertical="center" wrapText="1"/>
    </xf>
    <xf numFmtId="0" fontId="10" fillId="5" borderId="7" xfId="0" applyFont="1" applyFill="1" applyBorder="1" applyAlignment="1" applyProtection="1">
      <alignment horizontal="right" vertical="center" wrapText="1"/>
      <protection locked="0"/>
    </xf>
    <xf numFmtId="0" fontId="10" fillId="5" borderId="8" xfId="0" applyFont="1" applyFill="1" applyBorder="1" applyAlignment="1" applyProtection="1">
      <alignment horizontal="left" vertical="center" wrapText="1"/>
    </xf>
    <xf numFmtId="0" fontId="10" fillId="6" borderId="7" xfId="0" applyFont="1" applyFill="1" applyBorder="1" applyAlignment="1" applyProtection="1">
      <alignment horizontal="right" vertical="center" wrapText="1"/>
      <protection locked="0"/>
    </xf>
    <xf numFmtId="176" fontId="10" fillId="5" borderId="6" xfId="0" applyNumberFormat="1" applyFont="1" applyFill="1" applyBorder="1" applyAlignment="1" applyProtection="1">
      <alignment horizontal="center" vertical="center" wrapText="1"/>
    </xf>
    <xf numFmtId="0" fontId="10" fillId="4" borderId="6" xfId="0" applyFont="1" applyFill="1" applyBorder="1" applyAlignment="1" applyProtection="1">
      <alignment horizontal="center" vertical="center" wrapText="1"/>
      <protection locked="0"/>
    </xf>
    <xf numFmtId="0" fontId="10" fillId="5" borderId="5" xfId="0" applyFont="1" applyFill="1" applyBorder="1" applyAlignment="1" applyProtection="1">
      <alignment horizontal="center" vertical="center" wrapText="1"/>
    </xf>
    <xf numFmtId="0" fontId="11" fillId="5" borderId="5" xfId="0" applyFont="1" applyFill="1" applyBorder="1" applyAlignment="1" applyProtection="1">
      <alignment horizontal="center" vertical="center" wrapText="1"/>
    </xf>
    <xf numFmtId="0" fontId="10" fillId="4" borderId="5" xfId="0" applyFont="1" applyFill="1" applyBorder="1" applyAlignment="1" applyProtection="1">
      <alignment horizontal="center" vertical="center" wrapText="1"/>
    </xf>
    <xf numFmtId="0" fontId="10" fillId="5" borderId="9" xfId="0" applyFont="1" applyFill="1" applyBorder="1" applyAlignment="1" applyProtection="1">
      <alignment horizontal="center" vertical="center" wrapText="1"/>
    </xf>
    <xf numFmtId="0" fontId="10" fillId="5" borderId="10" xfId="0" applyFont="1" applyFill="1" applyBorder="1" applyAlignment="1" applyProtection="1">
      <alignment vertical="center" wrapText="1"/>
    </xf>
    <xf numFmtId="0" fontId="10" fillId="5" borderId="11" xfId="0" applyFont="1" applyFill="1" applyBorder="1" applyAlignment="1" applyProtection="1">
      <alignment vertical="center" wrapText="1"/>
    </xf>
    <xf numFmtId="176" fontId="10" fillId="4" borderId="6" xfId="0" applyNumberFormat="1" applyFont="1" applyFill="1" applyBorder="1" applyAlignment="1" applyProtection="1">
      <alignment horizontal="right" vertical="center" wrapText="1"/>
      <protection locked="0"/>
    </xf>
    <xf numFmtId="176" fontId="10" fillId="4" borderId="6" xfId="0" applyNumberFormat="1" applyFont="1" applyFill="1" applyBorder="1" applyAlignment="1" applyProtection="1">
      <alignment horizontal="left" vertical="center" wrapText="1"/>
      <protection locked="0"/>
    </xf>
    <xf numFmtId="176" fontId="10" fillId="5" borderId="6" xfId="0" applyNumberFormat="1" applyFont="1" applyFill="1" applyBorder="1" applyAlignment="1" applyProtection="1">
      <alignment horizontal="right" vertical="center" wrapText="1"/>
      <protection locked="0"/>
    </xf>
    <xf numFmtId="176" fontId="10" fillId="5" borderId="6" xfId="0" applyNumberFormat="1" applyFont="1" applyFill="1" applyBorder="1" applyAlignment="1" applyProtection="1">
      <alignment horizontal="left" vertical="center" wrapText="1"/>
      <protection locked="0"/>
    </xf>
    <xf numFmtId="176" fontId="10" fillId="5" borderId="6" xfId="0" applyNumberFormat="1" applyFont="1" applyFill="1" applyBorder="1" applyAlignment="1" applyProtection="1">
      <alignment horizontal="center" vertical="center" wrapText="1"/>
      <protection locked="0"/>
    </xf>
    <xf numFmtId="176" fontId="10" fillId="4" borderId="7" xfId="0" applyNumberFormat="1" applyFont="1" applyFill="1" applyBorder="1" applyAlignment="1" applyProtection="1">
      <alignment horizontal="center" vertical="center" wrapText="1"/>
    </xf>
    <xf numFmtId="0" fontId="1" fillId="2" borderId="12" xfId="0" applyFont="1" applyFill="1" applyBorder="1" applyAlignment="1" applyProtection="1">
      <alignment horizontal="center" vertical="center" wrapText="1"/>
    </xf>
    <xf numFmtId="176" fontId="10" fillId="4" borderId="13" xfId="0" applyNumberFormat="1" applyFont="1" applyFill="1" applyBorder="1" applyAlignment="1" applyProtection="1">
      <alignment horizontal="center" vertical="center" wrapText="1"/>
    </xf>
    <xf numFmtId="0" fontId="10" fillId="5" borderId="14" xfId="0" applyFont="1" applyFill="1" applyBorder="1" applyAlignment="1" applyProtection="1">
      <alignment horizontal="center" vertical="center" wrapText="1"/>
      <protection locked="0"/>
    </xf>
    <xf numFmtId="176" fontId="10" fillId="4" borderId="14" xfId="0" applyNumberFormat="1" applyFont="1" applyFill="1" applyBorder="1" applyAlignment="1" applyProtection="1">
      <alignment horizontal="center" vertical="center" wrapText="1"/>
    </xf>
    <xf numFmtId="0" fontId="10" fillId="4" borderId="7" xfId="0" applyFont="1" applyFill="1" applyBorder="1" applyAlignment="1" applyProtection="1">
      <alignment horizontal="right" vertical="center" wrapText="1"/>
    </xf>
    <xf numFmtId="0" fontId="10" fillId="4" borderId="8" xfId="0" applyFont="1" applyFill="1" applyBorder="1" applyAlignment="1" applyProtection="1">
      <alignment horizontal="left" vertical="center" wrapText="1"/>
    </xf>
    <xf numFmtId="0" fontId="10" fillId="4" borderId="7" xfId="0" applyFont="1" applyFill="1" applyBorder="1" applyAlignment="1" applyProtection="1">
      <alignment horizontal="right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</xf>
    <xf numFmtId="0" fontId="12" fillId="5" borderId="13" xfId="0" applyFont="1" applyFill="1" applyBorder="1" applyAlignment="1" applyProtection="1">
      <alignment horizontal="left" vertical="center" wrapText="1"/>
    </xf>
    <xf numFmtId="0" fontId="12" fillId="4" borderId="13" xfId="0" applyFont="1" applyFill="1" applyBorder="1" applyAlignment="1" applyProtection="1">
      <alignment horizontal="left" vertical="center" wrapText="1"/>
    </xf>
    <xf numFmtId="0" fontId="12" fillId="5" borderId="13" xfId="0" applyFont="1" applyFill="1" applyBorder="1" applyAlignment="1" applyProtection="1">
      <alignment horizontal="center" vertical="center" wrapText="1"/>
    </xf>
    <xf numFmtId="0" fontId="12" fillId="4" borderId="7" xfId="0" applyFont="1" applyFill="1" applyBorder="1" applyAlignment="1" applyProtection="1">
      <alignment horizontal="right" vertical="center" wrapText="1"/>
    </xf>
    <xf numFmtId="0" fontId="12" fillId="4" borderId="16" xfId="0" applyFont="1" applyFill="1" applyBorder="1" applyAlignment="1" applyProtection="1">
      <alignment horizontal="left" vertical="center" wrapText="1"/>
    </xf>
    <xf numFmtId="0" fontId="12" fillId="5" borderId="7" xfId="0" applyFont="1" applyFill="1" applyBorder="1" applyAlignment="1" applyProtection="1">
      <alignment horizontal="right" vertical="center" wrapText="1"/>
      <protection locked="0"/>
    </xf>
    <xf numFmtId="0" fontId="12" fillId="5" borderId="16" xfId="0" applyFont="1" applyFill="1" applyBorder="1" applyAlignment="1" applyProtection="1">
      <alignment horizontal="left" vertical="center" wrapText="1"/>
    </xf>
    <xf numFmtId="0" fontId="12" fillId="4" borderId="17" xfId="0" applyFont="1" applyFill="1" applyBorder="1" applyAlignment="1" applyProtection="1">
      <alignment horizontal="right" vertical="center" wrapText="1"/>
      <protection locked="0"/>
    </xf>
    <xf numFmtId="176" fontId="12" fillId="5" borderId="13" xfId="0" applyNumberFormat="1" applyFont="1" applyFill="1" applyBorder="1" applyAlignment="1" applyProtection="1">
      <alignment horizontal="center" vertical="center" wrapText="1"/>
    </xf>
    <xf numFmtId="0" fontId="12" fillId="5" borderId="14" xfId="0" applyFont="1" applyFill="1" applyBorder="1" applyAlignment="1" applyProtection="1">
      <alignment horizontal="left" vertical="center" wrapText="1"/>
    </xf>
    <xf numFmtId="0" fontId="10" fillId="5" borderId="13" xfId="0" applyFont="1" applyFill="1" applyBorder="1" applyAlignment="1" applyProtection="1">
      <alignment horizontal="center" vertical="center" wrapText="1"/>
      <protection locked="0"/>
    </xf>
    <xf numFmtId="176" fontId="10" fillId="4" borderId="17" xfId="0" applyNumberFormat="1" applyFont="1" applyFill="1" applyBorder="1" applyAlignment="1" applyProtection="1">
      <alignment horizontal="center" vertical="center" wrapText="1"/>
    </xf>
    <xf numFmtId="0" fontId="13" fillId="5" borderId="6" xfId="0" applyFont="1" applyFill="1" applyBorder="1" applyAlignment="1" applyProtection="1">
      <alignment horizontal="center" vertical="center" wrapText="1"/>
    </xf>
    <xf numFmtId="176" fontId="10" fillId="4" borderId="18" xfId="0" applyNumberFormat="1" applyFont="1" applyFill="1" applyBorder="1" applyAlignment="1" applyProtection="1">
      <alignment horizontal="center" vertical="center" wrapText="1"/>
    </xf>
    <xf numFmtId="0" fontId="1" fillId="6" borderId="0" xfId="0" applyFont="1" applyFill="1" applyAlignment="1" applyProtection="1">
      <alignment vertical="center"/>
    </xf>
    <xf numFmtId="0" fontId="10" fillId="5" borderId="5" xfId="0" applyFont="1" applyFill="1" applyBorder="1" applyAlignment="1" applyProtection="1">
      <alignment horizontal="center" vertical="center" wrapText="1"/>
      <protection locked="0"/>
    </xf>
    <xf numFmtId="0" fontId="10" fillId="5" borderId="18" xfId="0" applyFont="1" applyFill="1" applyBorder="1" applyAlignment="1" applyProtection="1">
      <alignment horizontal="center" vertical="center" wrapText="1"/>
      <protection locked="0"/>
    </xf>
    <xf numFmtId="0" fontId="10" fillId="6" borderId="11" xfId="0" applyFont="1" applyFill="1" applyBorder="1" applyAlignment="1" applyProtection="1">
      <alignment horizontal="left" vertical="center" wrapText="1"/>
    </xf>
    <xf numFmtId="0" fontId="10" fillId="6" borderId="11" xfId="0" applyFont="1" applyFill="1" applyBorder="1" applyAlignment="1" applyProtection="1">
      <alignment horizontal="right" vertical="center" wrapText="1"/>
      <protection locked="0"/>
    </xf>
    <xf numFmtId="0" fontId="12" fillId="5" borderId="6" xfId="0" applyFont="1" applyFill="1" applyBorder="1" applyAlignment="1" applyProtection="1">
      <alignment horizontal="left" vertical="center" wrapText="1"/>
    </xf>
    <xf numFmtId="0" fontId="12" fillId="4" borderId="6" xfId="0" applyFont="1" applyFill="1" applyBorder="1" applyAlignment="1" applyProtection="1">
      <alignment horizontal="left" vertical="center" wrapText="1"/>
    </xf>
    <xf numFmtId="0" fontId="12" fillId="5" borderId="6" xfId="0" applyFont="1" applyFill="1" applyBorder="1" applyAlignment="1" applyProtection="1">
      <alignment horizontal="center" vertical="center" wrapText="1"/>
      <protection locked="0"/>
    </xf>
    <xf numFmtId="0" fontId="12" fillId="4" borderId="8" xfId="0" applyFont="1" applyFill="1" applyBorder="1" applyAlignment="1" applyProtection="1">
      <alignment horizontal="left" vertical="center" wrapText="1"/>
    </xf>
    <xf numFmtId="0" fontId="12" fillId="5" borderId="8" xfId="0" applyFont="1" applyFill="1" applyBorder="1" applyAlignment="1" applyProtection="1">
      <alignment horizontal="left" vertical="center" wrapText="1"/>
    </xf>
    <xf numFmtId="0" fontId="12" fillId="4" borderId="7" xfId="0" applyFont="1" applyFill="1" applyBorder="1" applyAlignment="1" applyProtection="1">
      <alignment horizontal="right" vertical="center" wrapText="1"/>
      <protection locked="0"/>
    </xf>
    <xf numFmtId="176" fontId="12" fillId="5" borderId="6" xfId="0" applyNumberFormat="1" applyFont="1" applyFill="1" applyBorder="1" applyAlignment="1" applyProtection="1">
      <alignment horizontal="center" vertical="center" wrapText="1"/>
    </xf>
    <xf numFmtId="0" fontId="10" fillId="7" borderId="17" xfId="0" applyFont="1" applyFill="1" applyBorder="1" applyAlignment="1" applyProtection="1">
      <alignment horizontal="center" vertical="center" wrapText="1"/>
      <protection locked="0"/>
    </xf>
    <xf numFmtId="176" fontId="10" fillId="7" borderId="13" xfId="0" applyNumberFormat="1" applyFont="1" applyFill="1" applyBorder="1" applyAlignment="1" applyProtection="1">
      <alignment horizontal="center" vertical="center" wrapText="1"/>
    </xf>
    <xf numFmtId="0" fontId="12" fillId="7" borderId="6" xfId="0" applyFont="1" applyFill="1" applyBorder="1" applyAlignment="1" applyProtection="1">
      <alignment horizontal="left" vertical="center" wrapText="1"/>
    </xf>
    <xf numFmtId="0" fontId="10" fillId="7" borderId="6" xfId="0" applyFont="1" applyFill="1" applyBorder="1" applyAlignment="1" applyProtection="1">
      <alignment horizontal="left" vertical="center" wrapText="1"/>
    </xf>
    <xf numFmtId="176" fontId="10" fillId="4" borderId="7" xfId="0" applyNumberFormat="1" applyFont="1" applyFill="1" applyBorder="1" applyAlignment="1" applyProtection="1">
      <alignment horizontal="right" vertical="center" wrapText="1"/>
    </xf>
    <xf numFmtId="176" fontId="10" fillId="4" borderId="11" xfId="0" applyNumberFormat="1" applyFont="1" applyFill="1" applyBorder="1" applyAlignment="1" applyProtection="1">
      <alignment horizontal="right" vertical="center" wrapText="1"/>
    </xf>
    <xf numFmtId="176" fontId="10" fillId="4" borderId="8" xfId="0" applyNumberFormat="1" applyFont="1" applyFill="1" applyBorder="1" applyAlignment="1" applyProtection="1">
      <alignment horizontal="right" vertical="center" wrapText="1"/>
    </xf>
    <xf numFmtId="0" fontId="10" fillId="7" borderId="18" xfId="0" applyFont="1" applyFill="1" applyBorder="1" applyAlignment="1" applyProtection="1">
      <alignment horizontal="center" vertical="center" wrapText="1"/>
      <protection locked="0"/>
    </xf>
    <xf numFmtId="176" fontId="10" fillId="7" borderId="14" xfId="0" applyNumberFormat="1" applyFont="1" applyFill="1" applyBorder="1" applyAlignment="1" applyProtection="1">
      <alignment horizontal="center" vertical="center" wrapText="1"/>
    </xf>
    <xf numFmtId="0" fontId="10" fillId="7" borderId="19" xfId="0" applyFont="1" applyFill="1" applyBorder="1" applyAlignment="1" applyProtection="1">
      <alignment horizontal="center" vertical="center" wrapText="1"/>
      <protection locked="0"/>
    </xf>
    <xf numFmtId="0" fontId="12" fillId="7" borderId="13" xfId="0" applyFont="1" applyFill="1" applyBorder="1" applyAlignment="1" applyProtection="1">
      <alignment horizontal="left" vertical="center" wrapText="1"/>
    </xf>
    <xf numFmtId="0" fontId="10" fillId="7" borderId="13" xfId="0" applyFont="1" applyFill="1" applyBorder="1" applyAlignment="1" applyProtection="1">
      <alignment horizontal="left" vertical="center" wrapText="1"/>
    </xf>
    <xf numFmtId="176" fontId="10" fillId="4" borderId="17" xfId="0" applyNumberFormat="1" applyFont="1" applyFill="1" applyBorder="1" applyAlignment="1" applyProtection="1">
      <alignment horizontal="right" vertical="center" wrapText="1"/>
    </xf>
    <xf numFmtId="176" fontId="10" fillId="4" borderId="10" xfId="0" applyNumberFormat="1" applyFont="1" applyFill="1" applyBorder="1" applyAlignment="1" applyProtection="1">
      <alignment horizontal="right" vertical="center" wrapText="1"/>
    </xf>
    <xf numFmtId="0" fontId="12" fillId="7" borderId="18" xfId="0" applyFont="1" applyFill="1" applyBorder="1" applyAlignment="1" applyProtection="1">
      <alignment horizontal="center" vertical="center" wrapText="1"/>
      <protection locked="0"/>
    </xf>
    <xf numFmtId="0" fontId="10" fillId="7" borderId="5" xfId="0" applyFont="1" applyFill="1" applyBorder="1" applyAlignment="1" applyProtection="1">
      <alignment horizontal="left" vertical="center" wrapText="1"/>
    </xf>
    <xf numFmtId="176" fontId="10" fillId="4" borderId="19" xfId="0" applyNumberFormat="1" applyFont="1" applyFill="1" applyBorder="1" applyAlignment="1" applyProtection="1">
      <alignment horizontal="right" vertical="center" wrapText="1"/>
    </xf>
    <xf numFmtId="176" fontId="10" fillId="4" borderId="20" xfId="0" applyNumberFormat="1" applyFont="1" applyFill="1" applyBorder="1" applyAlignment="1" applyProtection="1">
      <alignment horizontal="right" vertical="center" wrapText="1"/>
    </xf>
    <xf numFmtId="0" fontId="14" fillId="2" borderId="0" xfId="0" applyFont="1" applyFill="1" applyAlignment="1" applyProtection="1">
      <alignment horizontal="center" vertical="center" wrapText="1"/>
    </xf>
    <xf numFmtId="0" fontId="14" fillId="2" borderId="6" xfId="0" applyFont="1" applyFill="1" applyBorder="1" applyAlignment="1" applyProtection="1">
      <alignment horizontal="center" vertical="center" wrapText="1"/>
    </xf>
    <xf numFmtId="0" fontId="15" fillId="2" borderId="6" xfId="0" applyFont="1" applyFill="1" applyBorder="1" applyAlignment="1" applyProtection="1">
      <alignment horizontal="center" vertical="center" wrapText="1"/>
    </xf>
    <xf numFmtId="0" fontId="15" fillId="2" borderId="5" xfId="0" applyFont="1" applyFill="1" applyBorder="1" applyAlignment="1" applyProtection="1">
      <alignment horizontal="center" vertical="center" wrapText="1"/>
    </xf>
    <xf numFmtId="0" fontId="16" fillId="2" borderId="5" xfId="0" applyFont="1" applyFill="1" applyBorder="1" applyAlignment="1" applyProtection="1">
      <alignment horizontal="center" vertical="center" wrapText="1"/>
    </xf>
    <xf numFmtId="0" fontId="15" fillId="2" borderId="21" xfId="0" applyFont="1" applyFill="1" applyBorder="1" applyAlignment="1" applyProtection="1">
      <alignment horizontal="center" vertical="center" wrapText="1"/>
    </xf>
    <xf numFmtId="176" fontId="10" fillId="4" borderId="16" xfId="0" applyNumberFormat="1" applyFont="1" applyFill="1" applyBorder="1" applyAlignment="1" applyProtection="1">
      <alignment horizontal="right" vertical="center" wrapText="1"/>
    </xf>
    <xf numFmtId="0" fontId="1" fillId="2" borderId="22" xfId="0" applyFont="1" applyFill="1" applyBorder="1" applyAlignment="1" applyProtection="1">
      <alignment horizontal="center" vertical="center" wrapText="1"/>
    </xf>
    <xf numFmtId="0" fontId="14" fillId="2" borderId="13" xfId="0" applyFont="1" applyFill="1" applyBorder="1" applyAlignment="1" applyProtection="1">
      <alignment horizontal="center" vertical="center" wrapText="1"/>
    </xf>
    <xf numFmtId="0" fontId="12" fillId="4" borderId="17" xfId="0" applyFont="1" applyFill="1" applyBorder="1" applyAlignment="1" applyProtection="1">
      <alignment horizontal="right" vertical="center" wrapText="1"/>
    </xf>
    <xf numFmtId="0" fontId="12" fillId="5" borderId="17" xfId="0" applyFont="1" applyFill="1" applyBorder="1" applyAlignment="1" applyProtection="1">
      <alignment horizontal="right" vertical="center" wrapText="1"/>
      <protection locked="0"/>
    </xf>
    <xf numFmtId="0" fontId="10" fillId="6" borderId="17" xfId="0" applyFont="1" applyFill="1" applyBorder="1" applyAlignment="1" applyProtection="1">
      <alignment horizontal="right" vertical="center" wrapText="1"/>
      <protection locked="0"/>
    </xf>
    <xf numFmtId="176" fontId="1" fillId="2" borderId="0" xfId="0" applyNumberFormat="1" applyFont="1" applyFill="1" applyAlignment="1" applyProtection="1">
      <alignment horizontal="center" vertical="center"/>
    </xf>
    <xf numFmtId="0" fontId="17" fillId="8" borderId="23" xfId="0" applyFont="1" applyFill="1" applyBorder="1" applyAlignment="1" applyProtection="1">
      <alignment horizontal="center" vertical="center" wrapText="1"/>
    </xf>
    <xf numFmtId="0" fontId="14" fillId="8" borderId="6" xfId="0" applyFont="1" applyFill="1" applyBorder="1" applyAlignment="1" applyProtection="1">
      <alignment horizontal="center" vertical="center" wrapText="1"/>
    </xf>
    <xf numFmtId="0" fontId="14" fillId="8" borderId="5" xfId="0" applyFont="1" applyFill="1" applyBorder="1" applyAlignment="1" applyProtection="1">
      <alignment horizontal="center" vertical="center" wrapText="1"/>
    </xf>
    <xf numFmtId="0" fontId="14" fillId="8" borderId="6" xfId="0" applyFont="1" applyFill="1" applyBorder="1" applyAlignment="1" applyProtection="1">
      <alignment horizontal="left" vertical="center" wrapText="1"/>
    </xf>
    <xf numFmtId="0" fontId="14" fillId="8" borderId="6" xfId="0" applyFont="1" applyFill="1" applyBorder="1" applyAlignment="1" applyProtection="1">
      <alignment horizontal="right" vertical="center" wrapText="1"/>
    </xf>
    <xf numFmtId="0" fontId="15" fillId="8" borderId="6" xfId="0" applyFont="1" applyFill="1" applyBorder="1" applyAlignment="1" applyProtection="1">
      <alignment horizontal="center" vertical="center" wrapText="1"/>
    </xf>
    <xf numFmtId="0" fontId="16" fillId="8" borderId="6" xfId="0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D36"/>
  <sheetViews>
    <sheetView tabSelected="1" topLeftCell="D1" workbookViewId="0">
      <pane ySplit="2" topLeftCell="A4" activePane="bottomLeft" state="frozen"/>
      <selection/>
      <selection pane="bottomLeft" activeCell="K16" sqref="K16"/>
    </sheetView>
  </sheetViews>
  <sheetFormatPr defaultColWidth="9" defaultRowHeight="18" customHeight="1"/>
  <cols>
    <col min="1" max="1" width="8.2" style="2" customWidth="1"/>
    <col min="2" max="2" width="13.1" style="3" customWidth="1"/>
    <col min="3" max="3" width="7.20833333333333" style="3" customWidth="1"/>
    <col min="4" max="4" width="13.0916666666667" style="3" customWidth="1"/>
    <col min="5" max="5" width="13.5" style="3" customWidth="1"/>
    <col min="6" max="6" width="33.5166666666667" style="4" customWidth="1"/>
    <col min="7" max="7" width="14.1" style="3" customWidth="1"/>
    <col min="8" max="8" width="47.7916666666667" style="5" customWidth="1"/>
    <col min="9" max="9" width="12.8" style="5" customWidth="1"/>
    <col min="10" max="10" width="10.5" style="3" customWidth="1"/>
    <col min="11" max="11" width="9.3" style="6" customWidth="1"/>
    <col min="12" max="12" width="11.1" style="5" customWidth="1"/>
    <col min="13" max="13" width="6.2" style="7" customWidth="1"/>
    <col min="14" max="14" width="10.1" style="5" customWidth="1"/>
    <col min="15" max="15" width="6.5" style="7" customWidth="1"/>
    <col min="16" max="16" width="6.4" style="5" customWidth="1"/>
    <col min="17" max="17" width="14.025" style="8" customWidth="1"/>
    <col min="18" max="18" width="13.2" style="4" customWidth="1"/>
    <col min="19" max="19" width="10.6916666666667" style="3" customWidth="1"/>
    <col min="20" max="20" width="13.05" style="3" customWidth="1"/>
    <col min="21" max="21" width="10.825" style="3" customWidth="1"/>
    <col min="22" max="22" width="10.825" style="9" customWidth="1"/>
    <col min="23" max="23" width="12.5" style="3" customWidth="1"/>
    <col min="24" max="24" width="10.9666666666667" style="3" hidden="1" customWidth="1"/>
    <col min="25" max="25" width="10.6916666666667" style="3" hidden="1" customWidth="1"/>
    <col min="26" max="26" width="12.3583333333333" style="3" hidden="1" customWidth="1"/>
    <col min="27" max="27" width="14" style="3" hidden="1" customWidth="1"/>
    <col min="28" max="16384" width="9" style="3"/>
  </cols>
  <sheetData>
    <row r="1" ht="49.05" customHeight="1" spans="1:30">
      <c r="A1" s="10" t="s">
        <v>0</v>
      </c>
      <c r="B1" s="11"/>
      <c r="C1" s="11"/>
      <c r="D1" s="11"/>
      <c r="E1" s="11"/>
      <c r="F1" s="12"/>
      <c r="G1" s="11"/>
      <c r="H1" s="13"/>
      <c r="I1" s="13"/>
      <c r="J1" s="11"/>
      <c r="K1" s="14"/>
      <c r="L1" s="13"/>
      <c r="M1" s="15"/>
      <c r="N1" s="13"/>
      <c r="O1" s="15"/>
      <c r="P1" s="13"/>
      <c r="Q1" s="11"/>
      <c r="R1" s="12"/>
      <c r="S1" s="11"/>
      <c r="T1" s="11"/>
      <c r="U1" s="11"/>
      <c r="V1" s="16"/>
      <c r="W1" s="11"/>
      <c r="X1" s="11"/>
      <c r="Y1" s="11"/>
      <c r="Z1" s="11"/>
      <c r="AA1" s="11"/>
    </row>
    <row r="2" ht="49.05" customHeight="1" spans="1:30">
      <c r="A2" s="17"/>
      <c r="B2" s="18"/>
      <c r="C2" s="18"/>
      <c r="D2" s="18"/>
      <c r="E2" s="18" t="s">
        <v>1</v>
      </c>
      <c r="F2" s="18" t="s">
        <v>2</v>
      </c>
      <c r="G2" s="18" t="s">
        <v>3</v>
      </c>
      <c r="H2" s="19"/>
      <c r="I2" s="19" t="s">
        <v>4</v>
      </c>
      <c r="J2" s="18" t="s">
        <v>5</v>
      </c>
      <c r="K2" s="20" t="s">
        <v>6</v>
      </c>
      <c r="L2" s="19"/>
      <c r="M2" s="20" t="s">
        <v>7</v>
      </c>
      <c r="N2" s="19"/>
      <c r="O2" s="20" t="s">
        <v>7</v>
      </c>
      <c r="P2" s="19"/>
      <c r="Q2" s="21" t="s">
        <v>8</v>
      </c>
      <c r="R2" s="18" t="s">
        <v>9</v>
      </c>
      <c r="S2" s="18" t="s">
        <v>10</v>
      </c>
      <c r="T2" s="18" t="s">
        <v>11</v>
      </c>
      <c r="U2" s="18" t="s">
        <v>12</v>
      </c>
      <c r="V2" s="22" t="s">
        <v>13</v>
      </c>
      <c r="W2" s="18" t="s">
        <v>14</v>
      </c>
      <c r="X2" s="18" t="s">
        <v>15</v>
      </c>
      <c r="Y2" s="18" t="s">
        <v>16</v>
      </c>
      <c r="Z2" s="18" t="s">
        <v>17</v>
      </c>
      <c r="AA2" s="23" t="s">
        <v>18</v>
      </c>
    </row>
    <row r="3" ht="30" customHeight="1" spans="1:30">
      <c r="A3" s="24" t="s">
        <v>19</v>
      </c>
      <c r="B3" s="25" t="s">
        <v>20</v>
      </c>
      <c r="C3" s="26" t="s">
        <v>21</v>
      </c>
      <c r="D3" s="27" t="s">
        <v>22</v>
      </c>
      <c r="E3" s="28">
        <f>Q3</f>
        <v>10000</v>
      </c>
      <c r="F3" s="29" t="s">
        <v>23</v>
      </c>
      <c r="G3" s="30"/>
      <c r="H3" s="31"/>
      <c r="I3" s="32" t="s">
        <v>24</v>
      </c>
      <c r="J3" s="27"/>
      <c r="K3" s="33">
        <v>5000</v>
      </c>
      <c r="L3" s="34" t="s">
        <v>25</v>
      </c>
      <c r="M3" s="35">
        <v>2</v>
      </c>
      <c r="N3" s="36" t="s">
        <v>26</v>
      </c>
      <c r="O3" s="37">
        <v>1</v>
      </c>
      <c r="P3" s="34" t="s">
        <v>27</v>
      </c>
      <c r="Q3" s="38">
        <f t="shared" ref="Q3:Q13" si="0">K3*M3*O3</f>
        <v>10000</v>
      </c>
      <c r="R3" s="39"/>
      <c r="S3" s="27">
        <f t="shared" ref="S3:S10" si="1">SUM(T3:V3)</f>
        <v>3949</v>
      </c>
      <c r="T3" s="40">
        <f>2678+1271</f>
        <v>3949</v>
      </c>
      <c r="U3" s="40"/>
      <c r="V3" s="41"/>
      <c r="W3" s="42">
        <f>Q3-S3</f>
        <v>6051</v>
      </c>
      <c r="X3" s="27"/>
      <c r="Y3" s="40"/>
      <c r="Z3" s="42">
        <f t="shared" ref="Z3:Z18" si="2">S3-X3</f>
        <v>3949</v>
      </c>
      <c r="AA3" s="43">
        <f t="shared" ref="AA3:AA18" si="3">Q3-X3</f>
        <v>10000</v>
      </c>
    </row>
    <row r="4" ht="61.05" customHeight="1" spans="1:30">
      <c r="A4" s="24"/>
      <c r="B4" s="28">
        <f>SUM(E3:E26)</f>
        <v>2042745</v>
      </c>
      <c r="C4" s="44" t="s">
        <v>28</v>
      </c>
      <c r="D4" s="45" t="s">
        <v>28</v>
      </c>
      <c r="E4" s="28">
        <f>SUM(G4:G4)</f>
        <v>2000</v>
      </c>
      <c r="F4" s="29" t="s">
        <v>29</v>
      </c>
      <c r="G4" s="28">
        <f>K4</f>
        <v>2000</v>
      </c>
      <c r="H4" s="31"/>
      <c r="I4" s="32" t="s">
        <v>30</v>
      </c>
      <c r="J4" s="27"/>
      <c r="K4" s="46">
        <v>2000</v>
      </c>
      <c r="L4" s="47"/>
      <c r="M4" s="48"/>
      <c r="N4" s="49"/>
      <c r="O4" s="46"/>
      <c r="P4" s="47"/>
      <c r="Q4" s="50"/>
      <c r="R4" s="39"/>
      <c r="S4" s="27">
        <f t="shared" si="1"/>
        <v>0</v>
      </c>
      <c r="T4" s="40"/>
      <c r="U4" s="40"/>
      <c r="V4" s="41"/>
      <c r="W4" s="42">
        <f>K4-S4</f>
        <v>2000</v>
      </c>
      <c r="X4" s="27"/>
      <c r="Y4" s="40"/>
      <c r="Z4" s="42">
        <f t="shared" si="2"/>
        <v>0</v>
      </c>
      <c r="AA4" s="43">
        <f>K4-X4</f>
        <v>2000</v>
      </c>
    </row>
    <row r="5" ht="31.05" customHeight="1" spans="1:30">
      <c r="A5" s="24"/>
      <c r="B5" s="51" t="s">
        <v>31</v>
      </c>
      <c r="C5" s="52" t="s">
        <v>32</v>
      </c>
      <c r="D5" s="44" t="s">
        <v>32</v>
      </c>
      <c r="E5" s="53">
        <f>SUM(G5:G35)</f>
        <v>2030745</v>
      </c>
      <c r="F5" s="54" t="s">
        <v>33</v>
      </c>
      <c r="G5" s="55">
        <f>SUM(Q5:Q9)</f>
        <v>804375</v>
      </c>
      <c r="H5" s="31" t="s">
        <v>34</v>
      </c>
      <c r="I5" s="32" t="s">
        <v>35</v>
      </c>
      <c r="J5" s="27"/>
      <c r="K5" s="56">
        <v>0.75</v>
      </c>
      <c r="L5" s="57" t="s">
        <v>36</v>
      </c>
      <c r="M5" s="35">
        <v>32500</v>
      </c>
      <c r="N5" s="36" t="s">
        <v>37</v>
      </c>
      <c r="O5" s="58">
        <v>6</v>
      </c>
      <c r="P5" s="57" t="s">
        <v>38</v>
      </c>
      <c r="Q5" s="38">
        <f t="shared" si="0"/>
        <v>146250</v>
      </c>
      <c r="R5" s="39"/>
      <c r="S5" s="27">
        <f t="shared" si="1"/>
        <v>0</v>
      </c>
      <c r="T5" s="40"/>
      <c r="U5" s="40"/>
      <c r="V5" s="41"/>
      <c r="W5" s="42">
        <f t="shared" ref="W5:W10" si="4">Q5-S5</f>
        <v>146250</v>
      </c>
      <c r="X5" s="27"/>
      <c r="Y5" s="40"/>
      <c r="Z5" s="42">
        <f t="shared" si="2"/>
        <v>0</v>
      </c>
      <c r="AA5" s="43">
        <f t="shared" si="3"/>
        <v>146250</v>
      </c>
      <c r="AC5" s="3">
        <v>394875</v>
      </c>
      <c r="AD5" s="3">
        <f>AB5-AC5</f>
        <v>-394875</v>
      </c>
    </row>
    <row r="6" ht="31.05" customHeight="1" spans="1:30">
      <c r="A6" s="24"/>
      <c r="B6" s="51"/>
      <c r="C6" s="59"/>
      <c r="D6" s="44" t="s">
        <v>32</v>
      </c>
      <c r="E6" s="55"/>
      <c r="F6" s="54"/>
      <c r="G6" s="55"/>
      <c r="H6" s="31" t="s">
        <v>39</v>
      </c>
      <c r="I6" s="32" t="s">
        <v>35</v>
      </c>
      <c r="J6" s="27"/>
      <c r="K6" s="56">
        <v>0.75</v>
      </c>
      <c r="L6" s="57" t="s">
        <v>36</v>
      </c>
      <c r="M6" s="35">
        <v>32500</v>
      </c>
      <c r="N6" s="36" t="s">
        <v>37</v>
      </c>
      <c r="O6" s="58">
        <v>6</v>
      </c>
      <c r="P6" s="57" t="s">
        <v>38</v>
      </c>
      <c r="Q6" s="38">
        <f t="shared" si="0"/>
        <v>146250</v>
      </c>
      <c r="R6" s="39"/>
      <c r="S6" s="27">
        <f t="shared" si="1"/>
        <v>0</v>
      </c>
      <c r="T6" s="40"/>
      <c r="U6" s="40"/>
      <c r="V6" s="41"/>
      <c r="W6" s="42">
        <f t="shared" si="4"/>
        <v>146250</v>
      </c>
      <c r="X6" s="27"/>
      <c r="Y6" s="40"/>
      <c r="Z6" s="42">
        <f t="shared" si="2"/>
        <v>0</v>
      </c>
      <c r="AA6" s="43">
        <f t="shared" si="3"/>
        <v>146250</v>
      </c>
      <c r="AC6" s="3">
        <v>204750</v>
      </c>
    </row>
    <row r="7" ht="33" customHeight="1" spans="1:30">
      <c r="A7" s="24"/>
      <c r="B7" s="51" t="s">
        <v>40</v>
      </c>
      <c r="C7" s="59"/>
      <c r="D7" s="44" t="s">
        <v>32</v>
      </c>
      <c r="E7" s="55"/>
      <c r="F7" s="54"/>
      <c r="G7" s="55"/>
      <c r="H7" s="31" t="s">
        <v>41</v>
      </c>
      <c r="I7" s="32" t="s">
        <v>35</v>
      </c>
      <c r="J7" s="27"/>
      <c r="K7" s="56">
        <v>0.75</v>
      </c>
      <c r="L7" s="57" t="s">
        <v>36</v>
      </c>
      <c r="M7" s="35">
        <v>32500</v>
      </c>
      <c r="N7" s="36" t="s">
        <v>37</v>
      </c>
      <c r="O7" s="58">
        <v>6</v>
      </c>
      <c r="P7" s="57" t="s">
        <v>38</v>
      </c>
      <c r="Q7" s="38">
        <f t="shared" si="0"/>
        <v>146250</v>
      </c>
      <c r="R7" s="39"/>
      <c r="S7" s="27">
        <f t="shared" si="1"/>
        <v>0</v>
      </c>
      <c r="T7" s="40"/>
      <c r="U7" s="40"/>
      <c r="V7" s="41"/>
      <c r="W7" s="42">
        <f t="shared" si="4"/>
        <v>146250</v>
      </c>
      <c r="X7" s="27"/>
      <c r="Y7" s="40"/>
      <c r="Z7" s="42">
        <f t="shared" si="2"/>
        <v>0</v>
      </c>
      <c r="AA7" s="43">
        <f t="shared" si="3"/>
        <v>146250</v>
      </c>
    </row>
    <row r="8" customHeight="1" spans="1:30">
      <c r="A8" s="24"/>
      <c r="B8" s="51"/>
      <c r="C8" s="59"/>
      <c r="D8" s="44" t="s">
        <v>32</v>
      </c>
      <c r="E8" s="55"/>
      <c r="F8" s="54"/>
      <c r="G8" s="55"/>
      <c r="H8" s="60" t="s">
        <v>42</v>
      </c>
      <c r="I8" s="61" t="s">
        <v>35</v>
      </c>
      <c r="J8" s="62"/>
      <c r="K8" s="63">
        <v>0.75</v>
      </c>
      <c r="L8" s="64" t="s">
        <v>36</v>
      </c>
      <c r="M8" s="65">
        <v>32500</v>
      </c>
      <c r="N8" s="66" t="s">
        <v>37</v>
      </c>
      <c r="O8" s="67">
        <v>9</v>
      </c>
      <c r="P8" s="64" t="s">
        <v>38</v>
      </c>
      <c r="Q8" s="68">
        <f t="shared" si="0"/>
        <v>219375</v>
      </c>
      <c r="R8" s="39"/>
      <c r="S8" s="27">
        <f t="shared" si="1"/>
        <v>116877.5</v>
      </c>
      <c r="T8" s="40"/>
      <c r="U8" s="40">
        <v>116880.75</v>
      </c>
      <c r="V8" s="41">
        <v>-3.25</v>
      </c>
      <c r="W8" s="42">
        <f t="shared" si="4"/>
        <v>102497.5</v>
      </c>
      <c r="X8" s="27">
        <f>Y8</f>
        <v>116877.5</v>
      </c>
      <c r="Y8" s="40">
        <v>116877.5</v>
      </c>
      <c r="Z8" s="42">
        <f t="shared" si="2"/>
        <v>0</v>
      </c>
      <c r="AA8" s="43">
        <f t="shared" si="3"/>
        <v>102497.5</v>
      </c>
    </row>
    <row r="9" ht="19.95" customHeight="1" spans="1:30">
      <c r="A9" s="24"/>
      <c r="B9" s="51"/>
      <c r="C9" s="59"/>
      <c r="D9" s="44" t="s">
        <v>32</v>
      </c>
      <c r="E9" s="55"/>
      <c r="F9" s="54"/>
      <c r="G9" s="55"/>
      <c r="H9" s="69"/>
      <c r="I9" s="61" t="s">
        <v>35</v>
      </c>
      <c r="J9" s="62"/>
      <c r="K9" s="63">
        <v>0.75</v>
      </c>
      <c r="L9" s="64" t="s">
        <v>36</v>
      </c>
      <c r="M9" s="65">
        <v>32500</v>
      </c>
      <c r="N9" s="66" t="s">
        <v>37</v>
      </c>
      <c r="O9" s="67">
        <v>6</v>
      </c>
      <c r="P9" s="64" t="s">
        <v>38</v>
      </c>
      <c r="Q9" s="68">
        <f t="shared" si="0"/>
        <v>146250</v>
      </c>
      <c r="R9" s="39"/>
      <c r="S9" s="27">
        <f t="shared" si="1"/>
        <v>69562.5</v>
      </c>
      <c r="T9" s="40"/>
      <c r="U9" s="40">
        <v>69562.5</v>
      </c>
      <c r="V9" s="41"/>
      <c r="W9" s="42">
        <f t="shared" si="4"/>
        <v>76687.5</v>
      </c>
      <c r="X9" s="27">
        <f>Y9</f>
        <v>69562.5</v>
      </c>
      <c r="Y9" s="40">
        <v>69562.5</v>
      </c>
      <c r="Z9" s="42">
        <f t="shared" si="2"/>
        <v>0</v>
      </c>
      <c r="AA9" s="43">
        <f t="shared" si="3"/>
        <v>76687.5</v>
      </c>
    </row>
    <row r="10" ht="21" customHeight="1" spans="1:30">
      <c r="A10" s="24"/>
      <c r="B10" s="51" t="s">
        <v>43</v>
      </c>
      <c r="C10" s="59"/>
      <c r="D10" s="44" t="s">
        <v>32</v>
      </c>
      <c r="E10" s="55"/>
      <c r="F10" s="70" t="s">
        <v>44</v>
      </c>
      <c r="G10" s="71">
        <f>SUM(Q10:Q19)</f>
        <v>235595</v>
      </c>
      <c r="H10" s="31" t="s">
        <v>45</v>
      </c>
      <c r="I10" s="32" t="s">
        <v>46</v>
      </c>
      <c r="J10" s="72"/>
      <c r="K10" s="33">
        <v>300</v>
      </c>
      <c r="L10" s="34" t="s">
        <v>47</v>
      </c>
      <c r="M10" s="35">
        <v>6</v>
      </c>
      <c r="N10" s="36" t="s">
        <v>26</v>
      </c>
      <c r="O10" s="37">
        <v>8</v>
      </c>
      <c r="P10" s="34" t="s">
        <v>48</v>
      </c>
      <c r="Q10" s="38">
        <f t="shared" si="0"/>
        <v>14400</v>
      </c>
      <c r="R10" s="39"/>
      <c r="S10" s="27">
        <f t="shared" si="1"/>
        <v>0</v>
      </c>
      <c r="T10" s="40"/>
      <c r="U10" s="40"/>
      <c r="V10" s="41"/>
      <c r="W10" s="42">
        <f t="shared" si="4"/>
        <v>14400</v>
      </c>
      <c r="X10" s="27">
        <f>Y10</f>
        <v>0</v>
      </c>
      <c r="Y10" s="40"/>
      <c r="Z10" s="42">
        <f t="shared" si="2"/>
        <v>0</v>
      </c>
      <c r="AA10" s="43">
        <f t="shared" si="3"/>
        <v>14400</v>
      </c>
    </row>
    <row r="11" ht="21" customHeight="1" spans="1:30">
      <c r="A11" s="24"/>
      <c r="B11" s="51"/>
      <c r="C11" s="59"/>
      <c r="D11" s="44" t="s">
        <v>32</v>
      </c>
      <c r="E11" s="55"/>
      <c r="F11" s="54"/>
      <c r="G11" s="73"/>
      <c r="H11" s="31" t="s">
        <v>49</v>
      </c>
      <c r="I11" s="32" t="s">
        <v>46</v>
      </c>
      <c r="J11" s="27"/>
      <c r="K11" s="33">
        <v>250</v>
      </c>
      <c r="L11" s="34" t="s">
        <v>47</v>
      </c>
      <c r="M11" s="35">
        <v>24</v>
      </c>
      <c r="N11" s="36" t="s">
        <v>26</v>
      </c>
      <c r="O11" s="37">
        <v>8</v>
      </c>
      <c r="P11" s="34" t="s">
        <v>48</v>
      </c>
      <c r="Q11" s="38">
        <f t="shared" si="0"/>
        <v>48000</v>
      </c>
      <c r="R11" s="39"/>
      <c r="S11" s="27"/>
      <c r="T11" s="40"/>
      <c r="U11" s="40"/>
      <c r="V11" s="41"/>
      <c r="W11" s="42"/>
      <c r="X11" s="27"/>
      <c r="Y11" s="40"/>
      <c r="Z11" s="42"/>
      <c r="AA11" s="43"/>
    </row>
    <row r="12" ht="21" customHeight="1" spans="1:30">
      <c r="A12" s="24"/>
      <c r="B12" s="51"/>
      <c r="C12" s="59"/>
      <c r="D12" s="44" t="s">
        <v>32</v>
      </c>
      <c r="E12" s="55"/>
      <c r="F12" s="54"/>
      <c r="G12" s="73"/>
      <c r="H12" s="31" t="s">
        <v>50</v>
      </c>
      <c r="I12" s="32" t="s">
        <v>51</v>
      </c>
      <c r="J12" s="27"/>
      <c r="K12" s="33">
        <v>1</v>
      </c>
      <c r="L12" s="34" t="s">
        <v>52</v>
      </c>
      <c r="M12" s="35">
        <v>1000</v>
      </c>
      <c r="N12" s="36" t="s">
        <v>26</v>
      </c>
      <c r="O12" s="37">
        <v>15</v>
      </c>
      <c r="P12" s="34" t="s">
        <v>38</v>
      </c>
      <c r="Q12" s="38">
        <f t="shared" si="0"/>
        <v>15000</v>
      </c>
      <c r="R12" s="39"/>
      <c r="S12" s="27">
        <f t="shared" ref="S12:S28" si="5">SUM(T12:V12)</f>
        <v>0</v>
      </c>
      <c r="T12" s="40"/>
      <c r="U12" s="40"/>
      <c r="V12" s="41"/>
      <c r="W12" s="42">
        <f t="shared" ref="W12:W27" si="6">Q12-S12</f>
        <v>15000</v>
      </c>
      <c r="X12" s="27">
        <f t="shared" ref="X12:X19" si="7">Y12</f>
        <v>0</v>
      </c>
      <c r="Y12" s="40"/>
      <c r="Z12" s="42">
        <f t="shared" ref="Z12:Z19" si="8">S12-X12</f>
        <v>0</v>
      </c>
      <c r="AA12" s="43">
        <f t="shared" ref="AA12:AA19" si="9">Q12-X12</f>
        <v>15000</v>
      </c>
    </row>
    <row r="13" ht="18.45" customHeight="1" spans="1:30">
      <c r="A13" s="24"/>
      <c r="B13" s="74"/>
      <c r="C13" s="59"/>
      <c r="D13" s="44" t="s">
        <v>32</v>
      </c>
      <c r="E13" s="55"/>
      <c r="F13" s="54"/>
      <c r="G13" s="73"/>
      <c r="H13" s="31" t="s">
        <v>53</v>
      </c>
      <c r="I13" s="32" t="s">
        <v>35</v>
      </c>
      <c r="J13" s="27"/>
      <c r="K13" s="56">
        <v>0.75</v>
      </c>
      <c r="L13" s="34" t="s">
        <v>36</v>
      </c>
      <c r="M13" s="35">
        <v>1000</v>
      </c>
      <c r="N13" s="36" t="s">
        <v>37</v>
      </c>
      <c r="O13" s="37">
        <v>15</v>
      </c>
      <c r="P13" s="34" t="s">
        <v>38</v>
      </c>
      <c r="Q13" s="38">
        <f t="shared" si="0"/>
        <v>11250</v>
      </c>
      <c r="R13" s="39"/>
      <c r="S13" s="27">
        <f t="shared" si="5"/>
        <v>0</v>
      </c>
      <c r="T13" s="40"/>
      <c r="U13" s="40"/>
      <c r="V13" s="41"/>
      <c r="W13" s="42">
        <f t="shared" si="6"/>
        <v>11250</v>
      </c>
      <c r="X13" s="27">
        <f t="shared" si="7"/>
        <v>0</v>
      </c>
      <c r="Y13" s="40"/>
      <c r="Z13" s="42">
        <f t="shared" si="8"/>
        <v>0</v>
      </c>
      <c r="AA13" s="43">
        <f t="shared" si="9"/>
        <v>11250</v>
      </c>
    </row>
    <row r="14" ht="18.45" customHeight="1" spans="1:30">
      <c r="A14" s="24"/>
      <c r="B14" s="74"/>
      <c r="C14" s="59"/>
      <c r="D14" s="44" t="s">
        <v>32</v>
      </c>
      <c r="E14" s="55"/>
      <c r="F14" s="54"/>
      <c r="G14" s="73"/>
      <c r="H14" s="31" t="s">
        <v>54</v>
      </c>
      <c r="I14" s="32" t="s">
        <v>51</v>
      </c>
      <c r="J14" s="27"/>
      <c r="K14" s="33">
        <v>21.5</v>
      </c>
      <c r="L14" s="34" t="s">
        <v>55</v>
      </c>
      <c r="M14" s="35">
        <v>30</v>
      </c>
      <c r="N14" s="36" t="s">
        <v>56</v>
      </c>
      <c r="O14" s="33"/>
      <c r="P14" s="34"/>
      <c r="Q14" s="38">
        <f>K14*M14</f>
        <v>645</v>
      </c>
      <c r="R14" s="39"/>
      <c r="S14" s="27">
        <f t="shared" si="5"/>
        <v>0</v>
      </c>
      <c r="T14" s="40"/>
      <c r="U14" s="40"/>
      <c r="V14" s="41"/>
      <c r="W14" s="42">
        <f t="shared" si="6"/>
        <v>645</v>
      </c>
      <c r="X14" s="27">
        <f t="shared" si="7"/>
        <v>0</v>
      </c>
      <c r="Y14" s="40"/>
      <c r="Z14" s="42">
        <f t="shared" si="8"/>
        <v>0</v>
      </c>
      <c r="AA14" s="43">
        <f t="shared" si="9"/>
        <v>645</v>
      </c>
    </row>
    <row r="15" ht="18.45" customHeight="1" spans="1:30">
      <c r="A15" s="24"/>
      <c r="B15" s="74"/>
      <c r="C15" s="59"/>
      <c r="D15" s="44" t="s">
        <v>32</v>
      </c>
      <c r="E15" s="55"/>
      <c r="F15" s="54"/>
      <c r="G15" s="73"/>
      <c r="H15" s="31" t="s">
        <v>57</v>
      </c>
      <c r="I15" s="32" t="s">
        <v>46</v>
      </c>
      <c r="J15" s="27"/>
      <c r="K15" s="33">
        <v>300</v>
      </c>
      <c r="L15" s="34" t="s">
        <v>58</v>
      </c>
      <c r="M15" s="35">
        <v>2</v>
      </c>
      <c r="N15" s="36" t="s">
        <v>26</v>
      </c>
      <c r="O15" s="37">
        <v>2</v>
      </c>
      <c r="P15" s="34" t="s">
        <v>48</v>
      </c>
      <c r="Q15" s="38">
        <f t="shared" ref="Q15:Q21" si="10">K15*M15*O15</f>
        <v>1200</v>
      </c>
      <c r="R15" s="39"/>
      <c r="S15" s="27">
        <f t="shared" si="5"/>
        <v>0</v>
      </c>
      <c r="T15" s="40"/>
      <c r="U15" s="40"/>
      <c r="V15" s="41"/>
      <c r="W15" s="42">
        <f t="shared" si="6"/>
        <v>1200</v>
      </c>
      <c r="X15" s="27">
        <f t="shared" si="7"/>
        <v>0</v>
      </c>
      <c r="Y15" s="40"/>
      <c r="Z15" s="42">
        <f t="shared" si="8"/>
        <v>0</v>
      </c>
      <c r="AA15" s="43">
        <f t="shared" si="9"/>
        <v>1200</v>
      </c>
    </row>
    <row r="16" ht="18.45" customHeight="1" spans="1:30">
      <c r="A16" s="24"/>
      <c r="B16" s="74"/>
      <c r="C16" s="59"/>
      <c r="D16" s="44" t="s">
        <v>32</v>
      </c>
      <c r="E16" s="55"/>
      <c r="F16" s="54"/>
      <c r="G16" s="73"/>
      <c r="H16" s="31" t="s">
        <v>59</v>
      </c>
      <c r="I16" s="32" t="s">
        <v>46</v>
      </c>
      <c r="J16" s="27"/>
      <c r="K16" s="33">
        <v>300</v>
      </c>
      <c r="L16" s="34" t="s">
        <v>58</v>
      </c>
      <c r="M16" s="35">
        <v>380</v>
      </c>
      <c r="N16" s="36" t="s">
        <v>26</v>
      </c>
      <c r="O16" s="37">
        <v>1</v>
      </c>
      <c r="P16" s="34" t="s">
        <v>48</v>
      </c>
      <c r="Q16" s="38">
        <f t="shared" si="10"/>
        <v>114000</v>
      </c>
      <c r="R16" s="39"/>
      <c r="S16" s="27">
        <f t="shared" si="5"/>
        <v>0</v>
      </c>
      <c r="T16" s="40"/>
      <c r="U16" s="40"/>
      <c r="V16" s="41"/>
      <c r="W16" s="42">
        <f t="shared" si="6"/>
        <v>114000</v>
      </c>
      <c r="X16" s="27">
        <f t="shared" si="7"/>
        <v>0</v>
      </c>
      <c r="Y16" s="40"/>
      <c r="Z16" s="42">
        <f t="shared" si="8"/>
        <v>0</v>
      </c>
      <c r="AA16" s="43">
        <f t="shared" si="9"/>
        <v>114000</v>
      </c>
    </row>
    <row r="17" ht="18.45" customHeight="1" spans="1:27">
      <c r="A17" s="24"/>
      <c r="B17" s="74"/>
      <c r="C17" s="59"/>
      <c r="D17" s="44" t="s">
        <v>32</v>
      </c>
      <c r="E17" s="55"/>
      <c r="F17" s="54"/>
      <c r="G17" s="73"/>
      <c r="H17" s="31" t="s">
        <v>60</v>
      </c>
      <c r="I17" s="32" t="s">
        <v>46</v>
      </c>
      <c r="J17" s="27"/>
      <c r="K17" s="33">
        <v>200</v>
      </c>
      <c r="L17" s="34" t="s">
        <v>58</v>
      </c>
      <c r="M17" s="35">
        <v>12</v>
      </c>
      <c r="N17" s="36" t="s">
        <v>26</v>
      </c>
      <c r="O17" s="37">
        <v>2</v>
      </c>
      <c r="P17" s="34" t="s">
        <v>48</v>
      </c>
      <c r="Q17" s="38">
        <f t="shared" si="10"/>
        <v>4800</v>
      </c>
      <c r="R17" s="39"/>
      <c r="S17" s="27">
        <f t="shared" si="5"/>
        <v>0</v>
      </c>
      <c r="T17" s="40"/>
      <c r="U17" s="40"/>
      <c r="V17" s="41"/>
      <c r="W17" s="42">
        <f t="shared" si="6"/>
        <v>4800</v>
      </c>
      <c r="X17" s="27">
        <f t="shared" si="7"/>
        <v>0</v>
      </c>
      <c r="Y17" s="40"/>
      <c r="Z17" s="42">
        <f t="shared" si="8"/>
        <v>0</v>
      </c>
      <c r="AA17" s="43">
        <f t="shared" si="9"/>
        <v>4800</v>
      </c>
    </row>
    <row r="18" ht="18.45" customHeight="1" spans="1:27">
      <c r="A18" s="24"/>
      <c r="B18" s="74"/>
      <c r="C18" s="59"/>
      <c r="D18" s="44" t="s">
        <v>32</v>
      </c>
      <c r="E18" s="55"/>
      <c r="F18" s="54"/>
      <c r="G18" s="73"/>
      <c r="H18" s="31" t="s">
        <v>61</v>
      </c>
      <c r="I18" s="32" t="s">
        <v>46</v>
      </c>
      <c r="J18" s="27"/>
      <c r="K18" s="33">
        <v>200</v>
      </c>
      <c r="L18" s="34" t="s">
        <v>58</v>
      </c>
      <c r="M18" s="35">
        <v>59</v>
      </c>
      <c r="N18" s="36" t="s">
        <v>26</v>
      </c>
      <c r="O18" s="37">
        <v>2</v>
      </c>
      <c r="P18" s="34" t="s">
        <v>48</v>
      </c>
      <c r="Q18" s="38">
        <f t="shared" si="10"/>
        <v>23600</v>
      </c>
      <c r="R18" s="39"/>
      <c r="S18" s="27">
        <f t="shared" si="5"/>
        <v>0</v>
      </c>
      <c r="T18" s="40"/>
      <c r="U18" s="40"/>
      <c r="V18" s="41"/>
      <c r="W18" s="42">
        <f t="shared" si="6"/>
        <v>23600</v>
      </c>
      <c r="X18" s="27">
        <f t="shared" si="7"/>
        <v>0</v>
      </c>
      <c r="Y18" s="40"/>
      <c r="Z18" s="42">
        <f t="shared" si="8"/>
        <v>0</v>
      </c>
      <c r="AA18" s="43">
        <f t="shared" si="9"/>
        <v>23600</v>
      </c>
    </row>
    <row r="19" ht="18.45" customHeight="1" spans="1:27">
      <c r="A19" s="24"/>
      <c r="B19" s="74"/>
      <c r="C19" s="59"/>
      <c r="D19" s="44" t="s">
        <v>32</v>
      </c>
      <c r="E19" s="55"/>
      <c r="F19" s="75"/>
      <c r="G19" s="73"/>
      <c r="H19" s="31" t="s">
        <v>62</v>
      </c>
      <c r="I19" s="32" t="s">
        <v>46</v>
      </c>
      <c r="J19" s="27"/>
      <c r="K19" s="33">
        <v>300</v>
      </c>
      <c r="L19" s="34" t="s">
        <v>58</v>
      </c>
      <c r="M19" s="35">
        <v>3</v>
      </c>
      <c r="N19" s="36" t="s">
        <v>26</v>
      </c>
      <c r="O19" s="37">
        <v>3</v>
      </c>
      <c r="P19" s="34" t="s">
        <v>48</v>
      </c>
      <c r="Q19" s="38">
        <f t="shared" si="10"/>
        <v>2700</v>
      </c>
      <c r="R19" s="39"/>
      <c r="S19" s="27">
        <f t="shared" si="5"/>
        <v>0</v>
      </c>
      <c r="T19" s="40"/>
      <c r="U19" s="40"/>
      <c r="V19" s="41"/>
      <c r="W19" s="42">
        <f t="shared" si="6"/>
        <v>2700</v>
      </c>
      <c r="X19" s="27">
        <f t="shared" si="7"/>
        <v>0</v>
      </c>
      <c r="Y19" s="40"/>
      <c r="Z19" s="42">
        <f t="shared" si="8"/>
        <v>0</v>
      </c>
      <c r="AA19" s="43">
        <f t="shared" si="9"/>
        <v>2700</v>
      </c>
    </row>
    <row r="20" ht="18.45" customHeight="1" spans="1:27">
      <c r="A20" s="24"/>
      <c r="B20" s="74"/>
      <c r="C20" s="59"/>
      <c r="D20" s="44" t="s">
        <v>32</v>
      </c>
      <c r="E20" s="55"/>
      <c r="F20" s="76" t="s">
        <v>63</v>
      </c>
      <c r="G20" s="28">
        <f>Q20</f>
        <v>360000</v>
      </c>
      <c r="H20" s="31" t="s">
        <v>64</v>
      </c>
      <c r="I20" s="32" t="s">
        <v>35</v>
      </c>
      <c r="J20" s="27"/>
      <c r="K20" s="33">
        <v>200</v>
      </c>
      <c r="L20" s="77" t="s">
        <v>65</v>
      </c>
      <c r="M20" s="35">
        <v>300</v>
      </c>
      <c r="N20" s="36" t="s">
        <v>37</v>
      </c>
      <c r="O20" s="78">
        <v>6</v>
      </c>
      <c r="P20" s="77" t="s">
        <v>27</v>
      </c>
      <c r="Q20" s="38">
        <f t="shared" si="10"/>
        <v>360000</v>
      </c>
      <c r="R20" s="39"/>
      <c r="S20" s="27"/>
      <c r="T20" s="40"/>
      <c r="U20" s="40"/>
      <c r="V20" s="41"/>
      <c r="W20" s="42"/>
      <c r="X20" s="27"/>
      <c r="Y20" s="40"/>
      <c r="Z20" s="42"/>
      <c r="AA20" s="43"/>
    </row>
    <row r="21" ht="18.45" customHeight="1" spans="1:27">
      <c r="A21" s="24"/>
      <c r="B21" s="74"/>
      <c r="C21" s="59"/>
      <c r="D21" s="44" t="s">
        <v>32</v>
      </c>
      <c r="E21" s="55"/>
      <c r="F21" s="76" t="s">
        <v>66</v>
      </c>
      <c r="G21" s="28">
        <f>Q21</f>
        <v>132000</v>
      </c>
      <c r="H21" s="79" t="s">
        <v>67</v>
      </c>
      <c r="I21" s="80" t="s">
        <v>46</v>
      </c>
      <c r="J21" s="81" t="s">
        <v>68</v>
      </c>
      <c r="K21" s="63">
        <f>IF(J21="正高级",800,IF(J21="高级",500,400))</f>
        <v>800</v>
      </c>
      <c r="L21" s="82" t="s">
        <v>58</v>
      </c>
      <c r="M21" s="65">
        <v>55</v>
      </c>
      <c r="N21" s="83" t="s">
        <v>26</v>
      </c>
      <c r="O21" s="84">
        <v>3</v>
      </c>
      <c r="P21" s="82" t="s">
        <v>48</v>
      </c>
      <c r="Q21" s="85">
        <f t="shared" si="10"/>
        <v>132000</v>
      </c>
      <c r="R21" s="39"/>
      <c r="S21" s="27"/>
      <c r="T21" s="40"/>
      <c r="U21" s="40"/>
      <c r="V21" s="41"/>
      <c r="W21" s="42"/>
      <c r="X21" s="27"/>
      <c r="Y21" s="40"/>
      <c r="Z21" s="42"/>
      <c r="AA21" s="43"/>
    </row>
    <row r="22" ht="30" customHeight="1" spans="1:27">
      <c r="A22" s="24"/>
      <c r="B22" s="74"/>
      <c r="C22" s="59"/>
      <c r="D22" s="44" t="s">
        <v>32</v>
      </c>
      <c r="E22" s="55"/>
      <c r="F22" s="86" t="s">
        <v>69</v>
      </c>
      <c r="G22" s="87">
        <f>SUM(K22:Q25)</f>
        <v>100000</v>
      </c>
      <c r="H22" s="88" t="s">
        <v>70</v>
      </c>
      <c r="I22" s="89" t="s">
        <v>35</v>
      </c>
      <c r="J22" s="29"/>
      <c r="K22" s="90">
        <v>20000</v>
      </c>
      <c r="L22" s="91"/>
      <c r="M22" s="91"/>
      <c r="N22" s="91"/>
      <c r="O22" s="91"/>
      <c r="P22" s="91"/>
      <c r="Q22" s="92"/>
      <c r="R22" s="39"/>
      <c r="S22" s="27">
        <f>SUM(T22:V22)</f>
        <v>5000</v>
      </c>
      <c r="T22" s="40">
        <v>5000</v>
      </c>
      <c r="U22" s="40"/>
      <c r="V22" s="41"/>
      <c r="W22" s="42">
        <f>Q22-S22</f>
        <v>-5000</v>
      </c>
      <c r="X22" s="27"/>
      <c r="Y22" s="40"/>
      <c r="Z22" s="42"/>
      <c r="AA22" s="43"/>
    </row>
    <row r="23" ht="30" customHeight="1" spans="1:27">
      <c r="A23" s="24"/>
      <c r="B23" s="74"/>
      <c r="C23" s="59"/>
      <c r="D23" s="44" t="s">
        <v>32</v>
      </c>
      <c r="E23" s="55"/>
      <c r="F23" s="93"/>
      <c r="G23" s="94"/>
      <c r="H23" s="88" t="s">
        <v>71</v>
      </c>
      <c r="I23" s="89" t="s">
        <v>35</v>
      </c>
      <c r="J23" s="29"/>
      <c r="K23" s="90">
        <v>40000</v>
      </c>
      <c r="L23" s="91"/>
      <c r="M23" s="91"/>
      <c r="N23" s="91"/>
      <c r="O23" s="91"/>
      <c r="P23" s="91"/>
      <c r="Q23" s="92"/>
      <c r="R23" s="39"/>
      <c r="S23" s="27"/>
      <c r="T23" s="40"/>
      <c r="U23" s="40"/>
      <c r="V23" s="41"/>
      <c r="W23" s="42"/>
      <c r="X23" s="27"/>
      <c r="Y23" s="40"/>
      <c r="Z23" s="42"/>
      <c r="AA23" s="43"/>
    </row>
    <row r="24" ht="30" customHeight="1" spans="1:27">
      <c r="A24" s="24"/>
      <c r="B24" s="74"/>
      <c r="C24" s="59"/>
      <c r="D24" s="44" t="s">
        <v>32</v>
      </c>
      <c r="E24" s="55"/>
      <c r="F24" s="93"/>
      <c r="G24" s="94"/>
      <c r="H24" s="88" t="s">
        <v>72</v>
      </c>
      <c r="I24" s="89" t="s">
        <v>35</v>
      </c>
      <c r="J24" s="29"/>
      <c r="K24" s="90">
        <v>30000</v>
      </c>
      <c r="L24" s="91"/>
      <c r="M24" s="91"/>
      <c r="N24" s="91"/>
      <c r="O24" s="91"/>
      <c r="P24" s="91"/>
      <c r="Q24" s="92"/>
      <c r="R24" s="39"/>
      <c r="S24" s="27"/>
      <c r="T24" s="40"/>
      <c r="U24" s="40"/>
      <c r="V24" s="41"/>
      <c r="W24" s="42"/>
      <c r="X24" s="27"/>
      <c r="Y24" s="40"/>
      <c r="Z24" s="42"/>
      <c r="AA24" s="43"/>
    </row>
    <row r="25" ht="30" customHeight="1" spans="1:27">
      <c r="A25" s="24"/>
      <c r="B25" s="74"/>
      <c r="C25" s="59"/>
      <c r="D25" s="44" t="s">
        <v>32</v>
      </c>
      <c r="E25" s="55"/>
      <c r="F25" s="95"/>
      <c r="G25" s="94"/>
      <c r="H25" s="96" t="s">
        <v>73</v>
      </c>
      <c r="I25" s="97" t="s">
        <v>35</v>
      </c>
      <c r="J25" s="70"/>
      <c r="K25" s="98">
        <v>10000</v>
      </c>
      <c r="L25" s="99"/>
      <c r="M25" s="99"/>
      <c r="N25" s="99"/>
      <c r="O25" s="99"/>
      <c r="P25" s="91"/>
      <c r="Q25" s="92"/>
      <c r="R25" s="39"/>
      <c r="S25" s="27"/>
      <c r="T25" s="40"/>
      <c r="U25" s="40"/>
      <c r="V25" s="41"/>
      <c r="W25" s="42"/>
      <c r="X25" s="27"/>
      <c r="Y25" s="40"/>
      <c r="Z25" s="42"/>
      <c r="AA25" s="43"/>
    </row>
    <row r="26" ht="37" customHeight="1" spans="1:27">
      <c r="A26" s="24"/>
      <c r="B26" s="74"/>
      <c r="C26" s="59"/>
      <c r="D26" s="44" t="s">
        <v>32</v>
      </c>
      <c r="E26" s="55"/>
      <c r="F26" s="100" t="s">
        <v>74</v>
      </c>
      <c r="G26" s="94">
        <f>SUM(K26:Q34)+Q35</f>
        <v>398775</v>
      </c>
      <c r="H26" s="101" t="s">
        <v>75</v>
      </c>
      <c r="I26" s="101" t="s">
        <v>35</v>
      </c>
      <c r="J26" s="40"/>
      <c r="K26" s="102">
        <v>20000</v>
      </c>
      <c r="L26" s="103"/>
      <c r="M26" s="103"/>
      <c r="N26" s="103"/>
      <c r="O26" s="103"/>
      <c r="P26" s="91"/>
      <c r="Q26" s="92"/>
      <c r="R26" s="39"/>
      <c r="S26" s="27">
        <f>SUM(T26:V26)</f>
        <v>0</v>
      </c>
      <c r="T26" s="40"/>
      <c r="U26" s="40"/>
      <c r="V26" s="41"/>
      <c r="W26" s="42">
        <f>K26-S26</f>
        <v>20000</v>
      </c>
      <c r="X26" s="27">
        <f>Y26</f>
        <v>0</v>
      </c>
      <c r="Y26" s="40"/>
      <c r="Z26" s="42">
        <f>S26-X26</f>
        <v>0</v>
      </c>
      <c r="AA26" s="43">
        <f>K26-X26</f>
        <v>20000</v>
      </c>
    </row>
    <row r="27" s="1" customFormat="1" ht="33" customHeight="1" spans="1:27">
      <c r="A27" s="24"/>
      <c r="B27" s="104"/>
      <c r="C27" s="59"/>
      <c r="D27" s="44" t="s">
        <v>32</v>
      </c>
      <c r="E27" s="55"/>
      <c r="F27" s="100"/>
      <c r="G27" s="94"/>
      <c r="H27" s="89" t="s">
        <v>76</v>
      </c>
      <c r="I27" s="89" t="s">
        <v>35</v>
      </c>
      <c r="J27" s="105"/>
      <c r="K27" s="90">
        <v>70000</v>
      </c>
      <c r="L27" s="91"/>
      <c r="M27" s="91"/>
      <c r="N27" s="91"/>
      <c r="O27" s="91"/>
      <c r="P27" s="91"/>
      <c r="Q27" s="92"/>
      <c r="R27" s="106"/>
      <c r="S27" s="106"/>
      <c r="T27" s="107"/>
      <c r="U27" s="107"/>
      <c r="V27" s="108"/>
      <c r="W27" s="107"/>
      <c r="X27" s="106"/>
      <c r="Y27" s="107"/>
      <c r="Z27" s="107"/>
      <c r="AA27" s="109"/>
    </row>
    <row r="28" s="1" customFormat="1" ht="33" customHeight="1" spans="1:27">
      <c r="A28" s="24"/>
      <c r="B28" s="104"/>
      <c r="C28" s="59"/>
      <c r="D28" s="44" t="s">
        <v>32</v>
      </c>
      <c r="E28" s="55"/>
      <c r="F28" s="100"/>
      <c r="G28" s="94"/>
      <c r="H28" s="89" t="s">
        <v>77</v>
      </c>
      <c r="I28" s="89" t="s">
        <v>35</v>
      </c>
      <c r="J28" s="105"/>
      <c r="K28" s="90">
        <v>60000</v>
      </c>
      <c r="L28" s="91"/>
      <c r="M28" s="91"/>
      <c r="N28" s="91"/>
      <c r="O28" s="91"/>
      <c r="P28" s="91"/>
      <c r="Q28" s="92"/>
      <c r="R28" s="106"/>
      <c r="S28" s="106"/>
      <c r="T28" s="107"/>
      <c r="U28" s="107"/>
      <c r="V28" s="108"/>
      <c r="W28" s="107"/>
      <c r="X28" s="106"/>
      <c r="Y28" s="107"/>
      <c r="Z28" s="107"/>
      <c r="AA28" s="109"/>
    </row>
    <row r="29" s="1" customFormat="1" ht="33" customHeight="1" spans="1:27">
      <c r="A29" s="24"/>
      <c r="B29" s="104"/>
      <c r="C29" s="59"/>
      <c r="D29" s="44" t="s">
        <v>32</v>
      </c>
      <c r="E29" s="55"/>
      <c r="F29" s="100"/>
      <c r="G29" s="94"/>
      <c r="H29" s="89" t="s">
        <v>78</v>
      </c>
      <c r="I29" s="89" t="s">
        <v>35</v>
      </c>
      <c r="J29" s="105"/>
      <c r="K29" s="90">
        <v>100000</v>
      </c>
      <c r="L29" s="91"/>
      <c r="M29" s="91"/>
      <c r="N29" s="91"/>
      <c r="O29" s="91"/>
      <c r="P29" s="91"/>
      <c r="Q29" s="92"/>
      <c r="R29" s="106"/>
      <c r="S29" s="106"/>
      <c r="T29" s="107"/>
      <c r="U29" s="107"/>
      <c r="V29" s="108"/>
      <c r="W29" s="107"/>
      <c r="X29" s="106"/>
      <c r="Y29" s="107"/>
      <c r="Z29" s="107"/>
      <c r="AA29" s="109"/>
    </row>
    <row r="30" s="1" customFormat="1" ht="33" customHeight="1" spans="1:27">
      <c r="A30" s="24"/>
      <c r="B30" s="104"/>
      <c r="C30" s="59"/>
      <c r="D30" s="44" t="s">
        <v>32</v>
      </c>
      <c r="E30" s="55"/>
      <c r="F30" s="100"/>
      <c r="G30" s="94"/>
      <c r="H30" s="89" t="s">
        <v>79</v>
      </c>
      <c r="I30" s="89" t="s">
        <v>35</v>
      </c>
      <c r="J30" s="105"/>
      <c r="K30" s="90">
        <v>50000</v>
      </c>
      <c r="L30" s="91"/>
      <c r="M30" s="91"/>
      <c r="N30" s="91"/>
      <c r="O30" s="91"/>
      <c r="P30" s="91"/>
      <c r="Q30" s="92"/>
      <c r="R30" s="106"/>
      <c r="S30" s="106"/>
      <c r="T30" s="107"/>
      <c r="U30" s="107"/>
      <c r="V30" s="108"/>
      <c r="W30" s="107"/>
      <c r="X30" s="106"/>
      <c r="Y30" s="107"/>
      <c r="Z30" s="107"/>
      <c r="AA30" s="109"/>
    </row>
    <row r="31" s="1" customFormat="1" ht="33" customHeight="1" spans="1:27">
      <c r="A31" s="24"/>
      <c r="B31" s="104"/>
      <c r="C31" s="59"/>
      <c r="D31" s="44" t="s">
        <v>32</v>
      </c>
      <c r="E31" s="55"/>
      <c r="F31" s="100"/>
      <c r="G31" s="94"/>
      <c r="H31" s="89" t="s">
        <v>80</v>
      </c>
      <c r="I31" s="89" t="s">
        <v>35</v>
      </c>
      <c r="J31" s="105"/>
      <c r="K31" s="98">
        <v>40000</v>
      </c>
      <c r="L31" s="99"/>
      <c r="M31" s="99"/>
      <c r="N31" s="99"/>
      <c r="O31" s="99"/>
      <c r="P31" s="99"/>
      <c r="Q31" s="110"/>
      <c r="R31" s="106"/>
      <c r="S31" s="106"/>
      <c r="T31" s="107"/>
      <c r="U31" s="107"/>
      <c r="V31" s="108"/>
      <c r="W31" s="107"/>
      <c r="X31" s="106"/>
      <c r="Y31" s="107"/>
      <c r="Z31" s="107"/>
      <c r="AA31" s="109"/>
    </row>
    <row r="32" s="1" customFormat="1" ht="33" customHeight="1" spans="1:27">
      <c r="A32" s="24"/>
      <c r="B32" s="104"/>
      <c r="C32" s="59"/>
      <c r="D32" s="44" t="s">
        <v>32</v>
      </c>
      <c r="E32" s="55"/>
      <c r="F32" s="100"/>
      <c r="G32" s="94"/>
      <c r="H32" s="89" t="s">
        <v>81</v>
      </c>
      <c r="I32" s="89" t="s">
        <v>35</v>
      </c>
      <c r="J32" s="105"/>
      <c r="K32" s="98">
        <v>10000</v>
      </c>
      <c r="L32" s="99"/>
      <c r="M32" s="99"/>
      <c r="N32" s="99"/>
      <c r="O32" s="99"/>
      <c r="P32" s="99"/>
      <c r="Q32" s="110"/>
      <c r="R32" s="106"/>
      <c r="S32" s="106"/>
      <c r="T32" s="107"/>
      <c r="U32" s="107"/>
      <c r="V32" s="108"/>
      <c r="W32" s="107"/>
      <c r="X32" s="106"/>
      <c r="Y32" s="107"/>
      <c r="Z32" s="107"/>
      <c r="AA32" s="109"/>
    </row>
    <row r="33" s="1" customFormat="1" ht="33" customHeight="1" spans="1:27">
      <c r="A33" s="24"/>
      <c r="B33" s="104"/>
      <c r="C33" s="59"/>
      <c r="D33" s="44" t="s">
        <v>32</v>
      </c>
      <c r="E33" s="55"/>
      <c r="F33" s="100"/>
      <c r="G33" s="94"/>
      <c r="H33" s="89" t="s">
        <v>82</v>
      </c>
      <c r="I33" s="89" t="s">
        <v>35</v>
      </c>
      <c r="J33" s="105"/>
      <c r="K33" s="98">
        <v>32000</v>
      </c>
      <c r="L33" s="99"/>
      <c r="M33" s="99"/>
      <c r="N33" s="99"/>
      <c r="O33" s="99"/>
      <c r="P33" s="99"/>
      <c r="Q33" s="110"/>
      <c r="R33" s="106"/>
      <c r="S33" s="106"/>
      <c r="T33" s="107"/>
      <c r="U33" s="107"/>
      <c r="V33" s="108"/>
      <c r="W33" s="107"/>
      <c r="X33" s="106"/>
      <c r="Y33" s="107"/>
      <c r="Z33" s="107"/>
      <c r="AA33" s="109"/>
    </row>
    <row r="34" s="1" customFormat="1" ht="33" customHeight="1" spans="1:27">
      <c r="A34" s="24"/>
      <c r="B34" s="104"/>
      <c r="C34" s="59"/>
      <c r="D34" s="44"/>
      <c r="E34" s="55"/>
      <c r="F34" s="100"/>
      <c r="G34" s="94"/>
      <c r="H34" s="89" t="s">
        <v>83</v>
      </c>
      <c r="I34" s="89" t="s">
        <v>35</v>
      </c>
      <c r="J34" s="105"/>
      <c r="K34" s="98">
        <v>8000</v>
      </c>
      <c r="L34" s="99"/>
      <c r="M34" s="99"/>
      <c r="N34" s="99"/>
      <c r="O34" s="99"/>
      <c r="P34" s="99"/>
      <c r="Q34" s="110"/>
      <c r="R34" s="106"/>
      <c r="S34" s="106"/>
      <c r="T34" s="107"/>
      <c r="U34" s="107"/>
      <c r="V34" s="108"/>
      <c r="W34" s="107"/>
      <c r="X34" s="106"/>
      <c r="Y34" s="107"/>
      <c r="Z34" s="107"/>
      <c r="AA34" s="109"/>
    </row>
    <row r="35" s="1" customFormat="1" ht="33" customHeight="1" spans="1:27">
      <c r="A35" s="24"/>
      <c r="B35" s="104"/>
      <c r="C35" s="111"/>
      <c r="D35" s="44" t="s">
        <v>32</v>
      </c>
      <c r="E35" s="55"/>
      <c r="F35" s="100"/>
      <c r="G35" s="94"/>
      <c r="H35" s="97" t="s">
        <v>84</v>
      </c>
      <c r="I35" s="97" t="s">
        <v>35</v>
      </c>
      <c r="J35" s="112"/>
      <c r="K35" s="113">
        <v>195</v>
      </c>
      <c r="L35" s="64" t="s">
        <v>65</v>
      </c>
      <c r="M35" s="114">
        <v>45</v>
      </c>
      <c r="N35" s="66" t="s">
        <v>37</v>
      </c>
      <c r="O35" s="115"/>
      <c r="P35" s="64"/>
      <c r="Q35" s="116">
        <f>K35*M35</f>
        <v>8775</v>
      </c>
      <c r="R35" s="106"/>
      <c r="S35" s="106"/>
      <c r="T35" s="107"/>
      <c r="U35" s="107"/>
      <c r="V35" s="108"/>
      <c r="W35" s="107"/>
      <c r="X35" s="106"/>
      <c r="Y35" s="107"/>
      <c r="Z35" s="107"/>
      <c r="AA35" s="109"/>
    </row>
    <row r="36" ht="33" customHeight="1" spans="1:27">
      <c r="A36" s="117" t="s">
        <v>85</v>
      </c>
      <c r="B36" s="118"/>
      <c r="C36" s="119"/>
      <c r="D36" s="118"/>
      <c r="E36" s="118"/>
      <c r="F36" s="118"/>
      <c r="G36" s="119"/>
      <c r="H36" s="120"/>
      <c r="I36" s="120"/>
      <c r="J36" s="118"/>
      <c r="K36" s="121"/>
      <c r="L36" s="120"/>
      <c r="M36" s="121"/>
      <c r="N36" s="120"/>
      <c r="O36" s="121"/>
      <c r="P36" s="120"/>
      <c r="Q36" s="118"/>
      <c r="R36" s="122">
        <f>Q3+K4+Q5+Q6+Q7+Q8+Q9+Q10+Q12+Q13+Q14+Q15+Q16+Q17+Q18+Q19+Q20+K22+K26</f>
        <v>1403970</v>
      </c>
      <c r="S36" s="122">
        <f t="shared" ref="S36:AA36" si="11">SUM(S3:S26)</f>
        <v>195389</v>
      </c>
      <c r="T36" s="122">
        <f t="shared" si="11"/>
        <v>8949</v>
      </c>
      <c r="U36" s="122">
        <f t="shared" si="11"/>
        <v>186443.25</v>
      </c>
      <c r="V36" s="123">
        <f t="shared" si="11"/>
        <v>-3.25</v>
      </c>
      <c r="W36" s="122">
        <f t="shared" si="11"/>
        <v>828581</v>
      </c>
      <c r="X36" s="122">
        <f t="shared" si="11"/>
        <v>186440</v>
      </c>
      <c r="Y36" s="122">
        <f t="shared" si="11"/>
        <v>186440</v>
      </c>
      <c r="Z36" s="122">
        <f t="shared" si="11"/>
        <v>3949</v>
      </c>
      <c r="AA36" s="122">
        <f t="shared" si="11"/>
        <v>837530</v>
      </c>
    </row>
  </sheetData>
  <sheetProtection selectLockedCells="1" formatRows="0" insertRows="0"/>
  <mergeCells count="34">
    <mergeCell ref="A1:AA1"/>
    <mergeCell ref="A2:B2"/>
    <mergeCell ref="C2:D2"/>
    <mergeCell ref="K2:L2"/>
    <mergeCell ref="M2:N2"/>
    <mergeCell ref="O2:P2"/>
    <mergeCell ref="F3:H3"/>
    <mergeCell ref="K4:Q4"/>
    <mergeCell ref="K22:Q22"/>
    <mergeCell ref="K23:Q23"/>
    <mergeCell ref="K24:Q24"/>
    <mergeCell ref="K25:Q25"/>
    <mergeCell ref="K26:Q26"/>
    <mergeCell ref="K27:Q27"/>
    <mergeCell ref="K28:Q28"/>
    <mergeCell ref="K29:Q29"/>
    <mergeCell ref="K30:Q30"/>
    <mergeCell ref="K31:Q31"/>
    <mergeCell ref="K32:Q32"/>
    <mergeCell ref="K33:Q33"/>
    <mergeCell ref="K34:Q34"/>
    <mergeCell ref="A36:Q36"/>
    <mergeCell ref="A3:A35"/>
    <mergeCell ref="C5:C35"/>
    <mergeCell ref="E5:E35"/>
    <mergeCell ref="F5:F9"/>
    <mergeCell ref="F10:F19"/>
    <mergeCell ref="F22:F25"/>
    <mergeCell ref="F26:F35"/>
    <mergeCell ref="G5:G9"/>
    <mergeCell ref="G10:G19"/>
    <mergeCell ref="G22:G25"/>
    <mergeCell ref="G26:G35"/>
    <mergeCell ref="H8:H9"/>
  </mergeCells>
  <dataValidations count="1">
    <dataValidation type="list" allowBlank="1" showInputMessage="1" showErrorMessage="1" sqref="J21:J25">
      <formula1>"正高级,高级,中级及以下"</formula1>
    </dataValidation>
  </dataValidations>
  <pageMargins left="0.314583333333333" right="0.236111111111111" top="0.393055555555556" bottom="0.118055555555556" header="0.511805555555556" footer="0.511805555555556"/>
  <pageSetup paperSize="9" scale="59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质量监测中心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qzuser</cp:lastModifiedBy>
  <dcterms:created xsi:type="dcterms:W3CDTF">2025-10-10T02:20:00Z</dcterms:created>
  <dcterms:modified xsi:type="dcterms:W3CDTF">2025-12-10T07:37:17Z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4B5D156909AF4F5198CD4C6ACE62F2F0_13</vt:lpwstr>
  </property>
  <property fmtid="{D5CDD505-2E9C-101B-9397-08002B2CF9AE}" pid="3" name="KSOProductBuildVer">
    <vt:lpwstr>2052-12.1.0.23542</vt:lpwstr>
  </property>
</Properties>
</file>